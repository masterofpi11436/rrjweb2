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tuggle\Documents\"/>
    </mc:Choice>
  </mc:AlternateContent>
  <bookViews>
    <workbookView xWindow="120" yWindow="90" windowWidth="23895" windowHeight="14535"/>
  </bookViews>
  <sheets>
    <sheet name="RRJ VOLUNTEERS" sheetId="1" r:id="rId1"/>
  </sheets>
  <calcPr calcId="152511"/>
</workbook>
</file>

<file path=xl/calcChain.xml><?xml version="1.0" encoding="utf-8"?>
<calcChain xmlns="http://schemas.openxmlformats.org/spreadsheetml/2006/main">
  <c r="AX2" i="1" l="1"/>
  <c r="AX3"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alcChain>
</file>

<file path=xl/sharedStrings.xml><?xml version="1.0" encoding="utf-8"?>
<sst xmlns="http://schemas.openxmlformats.org/spreadsheetml/2006/main" count="5232" uniqueCount="1324">
  <si>
    <t>Employee ID</t>
  </si>
  <si>
    <t>Schedule</t>
  </si>
  <si>
    <t>Last Name</t>
  </si>
  <si>
    <t>First Name</t>
  </si>
  <si>
    <t>GROUP NAME</t>
  </si>
  <si>
    <t>Address</t>
  </si>
  <si>
    <t>City</t>
  </si>
  <si>
    <t>State</t>
  </si>
  <si>
    <t>Zip Code</t>
  </si>
  <si>
    <t>Home Phone</t>
  </si>
  <si>
    <t>Cell Phone</t>
  </si>
  <si>
    <t>Birthdate</t>
  </si>
  <si>
    <t>Date Hired</t>
  </si>
  <si>
    <t>Signature</t>
  </si>
  <si>
    <t>Church Locator</t>
  </si>
  <si>
    <t>Work Phone</t>
  </si>
  <si>
    <t>Degree Type</t>
  </si>
  <si>
    <t>Email Address</t>
  </si>
  <si>
    <t>Race</t>
  </si>
  <si>
    <t>Sex</t>
  </si>
  <si>
    <t>SSN</t>
  </si>
  <si>
    <t>Document Status</t>
  </si>
  <si>
    <t>Church Address</t>
  </si>
  <si>
    <t>Church Leader</t>
  </si>
  <si>
    <t>Church Phone</t>
  </si>
  <si>
    <t>Skill/Education</t>
  </si>
  <si>
    <t>Category Name</t>
  </si>
  <si>
    <t>Qrt Meeting Attended</t>
  </si>
  <si>
    <t>VOL DINNER RSVP</t>
  </si>
  <si>
    <t>DINNER GUEST</t>
  </si>
  <si>
    <t>Quarterly Meeting Makeup</t>
  </si>
  <si>
    <t>Active/Inactive</t>
  </si>
  <si>
    <t>Actvity Status</t>
  </si>
  <si>
    <t>Ministry Group</t>
  </si>
  <si>
    <t>CHAPLAIN'S ASSISTANT</t>
  </si>
  <si>
    <t>On Call Schedule</t>
  </si>
  <si>
    <t>ON CALL STATUS</t>
  </si>
  <si>
    <t>Birth Month</t>
  </si>
  <si>
    <t>MINISTRY ORIENTATION DATE</t>
  </si>
  <si>
    <t>Volunteer Manual #</t>
  </si>
  <si>
    <t>PREA TRAINING DATE</t>
  </si>
  <si>
    <t>MAIN</t>
  </si>
  <si>
    <t>Denomination</t>
  </si>
  <si>
    <t>Devices Approved</t>
  </si>
  <si>
    <t>3rd Mon 7:30pm-8:30pm</t>
  </si>
  <si>
    <t>ABDULMUMIT</t>
  </si>
  <si>
    <t>JIHAD</t>
  </si>
  <si>
    <t>SERENITY Male &amp; Female HIV Prevention</t>
  </si>
  <si>
    <t>9406 LOCKBERRY RIDGE LOOP</t>
  </si>
  <si>
    <t>RICHMOND</t>
  </si>
  <si>
    <t>VA</t>
  </si>
  <si>
    <t>(804) 304-8595</t>
  </si>
  <si>
    <t/>
  </si>
  <si>
    <t>8/30/1954</t>
  </si>
  <si>
    <t>10/17/2013</t>
  </si>
  <si>
    <t>Certificate</t>
  </si>
  <si>
    <t>Black</t>
  </si>
  <si>
    <t>Female</t>
  </si>
  <si>
    <t>146-50-0091</t>
  </si>
  <si>
    <t>SECULAR</t>
  </si>
  <si>
    <t>COVID INACTIVE</t>
  </si>
  <si>
    <t>Serenity</t>
  </si>
  <si>
    <t>August</t>
  </si>
  <si>
    <t>Mon 9:30am-HU1 A/B &amp; Wed 1:00pm-2:30pm HU1CB; Sat 1:00-2:30pm HU6</t>
  </si>
  <si>
    <t>AINSWORTH</t>
  </si>
  <si>
    <t>SHIRLENE</t>
  </si>
  <si>
    <t>MINISTRY-BIBLE STUDY</t>
  </si>
  <si>
    <t>618 OAKWOOD CIRCLE</t>
  </si>
  <si>
    <t>PETERSBURG</t>
  </si>
  <si>
    <t>(804) 861-0643</t>
  </si>
  <si>
    <t>(804) 721-1240</t>
  </si>
  <si>
    <t>7/25/1945</t>
  </si>
  <si>
    <t>2/14/2005</t>
  </si>
  <si>
    <t>Letter of Recommendation</t>
  </si>
  <si>
    <t>n/a</t>
  </si>
  <si>
    <t>MINISTRY</t>
  </si>
  <si>
    <t>Main Jail</t>
  </si>
  <si>
    <t>HU6</t>
  </si>
  <si>
    <t>Varies</t>
  </si>
  <si>
    <t>ALFORD</t>
  </si>
  <si>
    <t>LINWOOD</t>
  </si>
  <si>
    <t>OPEN DOOR RESOURCE CENTER, INC</t>
  </si>
  <si>
    <t>4009 FITZHUGH AVENUE SUITE 203</t>
  </si>
  <si>
    <t>(804) 658-2784</t>
  </si>
  <si>
    <t>(804) 368-5327</t>
  </si>
  <si>
    <t>10/31/1964</t>
  </si>
  <si>
    <t>1/8/2024</t>
  </si>
  <si>
    <t>Degree</t>
  </si>
  <si>
    <t>lalford@odrcinc</t>
  </si>
  <si>
    <t>Male</t>
  </si>
  <si>
    <t>228-08-2805</t>
  </si>
  <si>
    <t>ACTIVE</t>
  </si>
  <si>
    <t>October</t>
  </si>
  <si>
    <t>1st or 3rd Wed 7:30pm-8:30pm</t>
  </si>
  <si>
    <t>ALLALA</t>
  </si>
  <si>
    <t>LAURIE</t>
  </si>
  <si>
    <t>NA MEETINGS</t>
  </si>
  <si>
    <t>10645 JOHNSON ROAD</t>
  </si>
  <si>
    <t>SOUTH PRINCE GEORGE</t>
  </si>
  <si>
    <t>(804) 586-6610</t>
  </si>
  <si>
    <t>10/7/1960</t>
  </si>
  <si>
    <t>6/6/2012</t>
  </si>
  <si>
    <t>Life Experiences</t>
  </si>
  <si>
    <t>White</t>
  </si>
  <si>
    <t>159-46-2368</t>
  </si>
  <si>
    <t>BARTLAM</t>
  </si>
  <si>
    <t>BRUCE</t>
  </si>
  <si>
    <t>MINISTRY-COUNSELING</t>
  </si>
  <si>
    <t>5700 CLAYVILLE LANE</t>
  </si>
  <si>
    <t>MOSELEY</t>
  </si>
  <si>
    <t>(804) 739-2936</t>
  </si>
  <si>
    <t>(804) 931-4669</t>
  </si>
  <si>
    <t>5/9/1939</t>
  </si>
  <si>
    <t>10/2/2018</t>
  </si>
  <si>
    <t>Bethel Baptist</t>
  </si>
  <si>
    <t>227-46-0716</t>
  </si>
  <si>
    <t>ON CALL CHAPLAIN</t>
  </si>
  <si>
    <t>inactive until Dec Tuesday-Friday 0900-1400 hours</t>
  </si>
  <si>
    <t>BAPTIST</t>
  </si>
  <si>
    <t>Tues 7:30pm-8:30pm</t>
  </si>
  <si>
    <t>BATES</t>
  </si>
  <si>
    <t>ERIC</t>
  </si>
  <si>
    <t>AA MEETINGS</t>
  </si>
  <si>
    <t>2719 EXECTIVE DRIVE</t>
  </si>
  <si>
    <t>CHESTER</t>
  </si>
  <si>
    <t>(804) 943-4651</t>
  </si>
  <si>
    <t>5/10/1969</t>
  </si>
  <si>
    <t>2/27/2019</t>
  </si>
  <si>
    <t>lLife Experiences</t>
  </si>
  <si>
    <t>Males</t>
  </si>
  <si>
    <t>049-64-7670</t>
  </si>
  <si>
    <t>May</t>
  </si>
  <si>
    <t>BIRDSELL</t>
  </si>
  <si>
    <t>KEVIN</t>
  </si>
  <si>
    <t>VETERAN JUSTICE OUTREACH SPECIALIST</t>
  </si>
  <si>
    <t>2310 COLTON DRIVE</t>
  </si>
  <si>
    <t>NORTH CHESTERFIELD</t>
  </si>
  <si>
    <t>(804) 675-5000</t>
  </si>
  <si>
    <t>7/4/1975</t>
  </si>
  <si>
    <t>10/17/2014</t>
  </si>
  <si>
    <t>Federal Government ID</t>
  </si>
  <si>
    <t>kevin.birdsell@va.gov</t>
  </si>
  <si>
    <t>218-17-8316</t>
  </si>
  <si>
    <t>Active</t>
  </si>
  <si>
    <t>July</t>
  </si>
  <si>
    <t>Sun 7:30-9:00pm Week 3 HU5</t>
  </si>
  <si>
    <t>BLYDEN</t>
  </si>
  <si>
    <t>PAUL</t>
  </si>
  <si>
    <t>MINISTRY-SUNDAY SERVICE</t>
  </si>
  <si>
    <t>6032 CHINQUAPIN CIRCLE</t>
  </si>
  <si>
    <t>PRINCE GEORGE</t>
  </si>
  <si>
    <t>(678) 973-3978</t>
  </si>
  <si>
    <t>Mon 8:00am-12:00pm</t>
  </si>
  <si>
    <t>BOGESE</t>
  </si>
  <si>
    <t>DEBORAH</t>
  </si>
  <si>
    <t>MINISTRY-ADMINISTRATIVE</t>
  </si>
  <si>
    <t>8539 COUNTRY VIEW</t>
  </si>
  <si>
    <t>NORTH PRINCE GEORGE</t>
  </si>
  <si>
    <t>(804) 731-2523</t>
  </si>
  <si>
    <t>DSBOGESE@COMCAST.NET</t>
  </si>
  <si>
    <t>ADMINISTRATIVE</t>
  </si>
  <si>
    <t>GOOD NEWS LESSONS</t>
  </si>
  <si>
    <t>Tuesday &amp; Thursday 8:00am-4:30pm</t>
  </si>
  <si>
    <t>BONNER</t>
  </si>
  <si>
    <t>RHACQUEL</t>
  </si>
  <si>
    <t>INTERN/CASE MANAGER</t>
  </si>
  <si>
    <t>345 BUCKLAND HILLS DRIVE APT#7223</t>
  </si>
  <si>
    <t>MANCHESTER</t>
  </si>
  <si>
    <t>CT</t>
  </si>
  <si>
    <t>(959) 200-0920</t>
  </si>
  <si>
    <t>11/21/2002</t>
  </si>
  <si>
    <t>1/23/2024</t>
  </si>
  <si>
    <t>MOU</t>
  </si>
  <si>
    <t>RHACQUELB</t>
  </si>
  <si>
    <t>049-04-3201</t>
  </si>
  <si>
    <t>INTERN</t>
  </si>
  <si>
    <t>November</t>
  </si>
  <si>
    <t>Varies Male &amp; female</t>
  </si>
  <si>
    <t>BUFORD</t>
  </si>
  <si>
    <t>MENTAL HEALTH OUTREACH RIVER CIITY</t>
  </si>
  <si>
    <t>1144 W. NORMANDALE AVENUE</t>
  </si>
  <si>
    <t>(804) 943-5504</t>
  </si>
  <si>
    <t>12/6/1948</t>
  </si>
  <si>
    <t>6/3/2019</t>
  </si>
  <si>
    <t>dbuford@riercityccs.com</t>
  </si>
  <si>
    <t>228-68-1919</t>
  </si>
  <si>
    <t>December</t>
  </si>
  <si>
    <t>Fri 7:30pm-8:30pm</t>
  </si>
  <si>
    <t>BURROW</t>
  </si>
  <si>
    <t>JOHNNIE</t>
  </si>
  <si>
    <t>640-D JUNIPER ROAD</t>
  </si>
  <si>
    <t>(804) 712-0699</t>
  </si>
  <si>
    <t>11/2/1955</t>
  </si>
  <si>
    <t>9/28/2018</t>
  </si>
  <si>
    <t>225-76-0845</t>
  </si>
  <si>
    <t>CANADAY</t>
  </si>
  <si>
    <t>MELISSA</t>
  </si>
  <si>
    <t>FOCUSED OUTREACH RICHMOND</t>
  </si>
  <si>
    <t>6325 OLIVET CHURCH ROAD</t>
  </si>
  <si>
    <t>PROVIDENCE FORGE</t>
  </si>
  <si>
    <t>(804) 586-6412</t>
  </si>
  <si>
    <t>5/4/1965</t>
  </si>
  <si>
    <t>8/27/2019</t>
  </si>
  <si>
    <t>mcanaday@focusedoutreachrichmond.org</t>
  </si>
  <si>
    <t>American Indian</t>
  </si>
  <si>
    <t>213-92-6161</t>
  </si>
  <si>
    <t>4th Wed 7:30pm-8:30pm</t>
  </si>
  <si>
    <t>CEASER</t>
  </si>
  <si>
    <t>TERRI</t>
  </si>
  <si>
    <t>UNHEALTHY RELATIONSHIP</t>
  </si>
  <si>
    <t>156 SEYLER DRIVE</t>
  </si>
  <si>
    <t>(804) 734-6378</t>
  </si>
  <si>
    <t>(804) 721-0610</t>
  </si>
  <si>
    <t>3/7/1959</t>
  </si>
  <si>
    <t>5/7/2019</t>
  </si>
  <si>
    <t>females</t>
  </si>
  <si>
    <t>226-98-1505</t>
  </si>
  <si>
    <t>March</t>
  </si>
  <si>
    <t>CHILES, SR.</t>
  </si>
  <si>
    <t>DOUGLAS</t>
  </si>
  <si>
    <t>MINISTRY-BIBLE STUDY/SUNDAY SERVICE/TRAUMA HEALING</t>
  </si>
  <si>
    <t>15518 CHESDIN LANDING COURT</t>
  </si>
  <si>
    <t>CHESTERFIELD</t>
  </si>
  <si>
    <t>(804) 590-1480</t>
  </si>
  <si>
    <t>(706) 471-0003</t>
  </si>
  <si>
    <t>chilesd55@gmail.com</t>
  </si>
  <si>
    <t>ON CALL</t>
  </si>
  <si>
    <t>Anytime after 1200 hours</t>
  </si>
  <si>
    <t>3rd Fri 9:00am-11:30am</t>
  </si>
  <si>
    <t>CLAIBORN</t>
  </si>
  <si>
    <t>CORETHA</t>
  </si>
  <si>
    <t>ALAMO RECOVERY CENTER/ANGER MANAGEMENT GROUP</t>
  </si>
  <si>
    <t>7053 OMALLEY DRIVE</t>
  </si>
  <si>
    <t>(804) 651-0876</t>
  </si>
  <si>
    <t>1/19/1967</t>
  </si>
  <si>
    <t>8/17/2016</t>
  </si>
  <si>
    <t>224-17-2406</t>
  </si>
  <si>
    <t>January</t>
  </si>
  <si>
    <t>Mon 9:00am-12:00pm &amp; Thur 9:00am-10:00am</t>
  </si>
  <si>
    <t>CLAYBORNE</t>
  </si>
  <si>
    <t>JANE</t>
  </si>
  <si>
    <t>THE JAMES HOUSE</t>
  </si>
  <si>
    <t>1716 S. SYCAMORE STREET</t>
  </si>
  <si>
    <t>(804) 299-1414</t>
  </si>
  <si>
    <t>6/25/1959</t>
  </si>
  <si>
    <t>(804) 458- 2704</t>
  </si>
  <si>
    <t>398-54-2719</t>
  </si>
  <si>
    <t>James House</t>
  </si>
  <si>
    <t>June</t>
  </si>
  <si>
    <t>Sun 9:30-10:45am Week 2 HU2A</t>
  </si>
  <si>
    <t>COLE, JR.</t>
  </si>
  <si>
    <t>ARTHUR</t>
  </si>
  <si>
    <t>2104 HARVEST GROVE LANE</t>
  </si>
  <si>
    <t>(804) 691-3934</t>
  </si>
  <si>
    <t>(804) 279-5811</t>
  </si>
  <si>
    <t>4/2/1949</t>
  </si>
  <si>
    <t>7/7/1997</t>
  </si>
  <si>
    <t>227-62-8760</t>
  </si>
  <si>
    <t>Tues &amp; Thurs 9:30am-11:00am</t>
  </si>
  <si>
    <t>CROUCHE</t>
  </si>
  <si>
    <t>LATISHIA</t>
  </si>
  <si>
    <t>DISTRICT 19</t>
  </si>
  <si>
    <t>20 W BANK STREET SUITE # 4</t>
  </si>
  <si>
    <t>(804) 704-1830</t>
  </si>
  <si>
    <t>3/23/1965</t>
  </si>
  <si>
    <t>10/17/2023</t>
  </si>
  <si>
    <t>icrouche@19csb.com</t>
  </si>
  <si>
    <t>185-56-6914</t>
  </si>
  <si>
    <t>Tue Week 2 &amp; 5</t>
  </si>
  <si>
    <t>CRUZ-LOPEZ</t>
  </si>
  <si>
    <t>HECTOR</t>
  </si>
  <si>
    <t>MINISTRY-SPANISH BIBLE STUDY</t>
  </si>
  <si>
    <t>40 GREENWELL DRIVE</t>
  </si>
  <si>
    <t>HAMPTON</t>
  </si>
  <si>
    <t>(757) 344-0091</t>
  </si>
  <si>
    <t>Hispanic</t>
  </si>
  <si>
    <t>7th DAY ADVENTIST</t>
  </si>
  <si>
    <t>7TH DAY ADVENTIST</t>
  </si>
  <si>
    <t>Thu 9:00-10:30am Week 2/4 HU2B</t>
  </si>
  <si>
    <t>CUNNINGHAM</t>
  </si>
  <si>
    <t>CLINTON</t>
  </si>
  <si>
    <t>2709 PORTSMOUTH STREET</t>
  </si>
  <si>
    <t>HOPEWELL</t>
  </si>
  <si>
    <t>(804) 452-2380</t>
  </si>
  <si>
    <t>12/5/1934</t>
  </si>
  <si>
    <t>8/14/2007</t>
  </si>
  <si>
    <t>West Hopewell Presbyterian</t>
  </si>
  <si>
    <t>083-26-8386</t>
  </si>
  <si>
    <t>2602 Wise Street, Hopewell, VA 23860</t>
  </si>
  <si>
    <t>Pastor John Lindsay</t>
  </si>
  <si>
    <t>(804) 458-4008</t>
  </si>
  <si>
    <t>PRESBYTERIAN</t>
  </si>
  <si>
    <t>Thu 9:00-10:30am Week 2/4 HU1A</t>
  </si>
  <si>
    <t>LINDA SUE</t>
  </si>
  <si>
    <t>(757) 605-5801</t>
  </si>
  <si>
    <t>7/23/1949</t>
  </si>
  <si>
    <t>11/10/2016</t>
  </si>
  <si>
    <t>lindadizyb@comcast.net</t>
  </si>
  <si>
    <t>420-70-3868</t>
  </si>
  <si>
    <t>Thursday (2nd &amp; 4th) 0900-1030 hours</t>
  </si>
  <si>
    <t>DARRINGTON</t>
  </si>
  <si>
    <t>HAILEY</t>
  </si>
  <si>
    <t>INTERN/ CASE MANAGER</t>
  </si>
  <si>
    <t>7248 STATEMAN BLVD</t>
  </si>
  <si>
    <t>RUTNER GLEN</t>
  </si>
  <si>
    <t>(804) 982-6882</t>
  </si>
  <si>
    <t>5/11/2003</t>
  </si>
  <si>
    <t>hdar9699@students.vsu.edu</t>
  </si>
  <si>
    <t>Black/White</t>
  </si>
  <si>
    <t>225-97-0132</t>
  </si>
  <si>
    <t>Tue 7:30-9:00pm HU5</t>
  </si>
  <si>
    <t>DAVID</t>
  </si>
  <si>
    <t>CHRIS</t>
  </si>
  <si>
    <t>111 NOTTINGHAM DRIVE</t>
  </si>
  <si>
    <t>COLONIAL HEIGHTS</t>
  </si>
  <si>
    <t>(804) 943-1046</t>
  </si>
  <si>
    <t>DAVIS</t>
  </si>
  <si>
    <t>THOMAS</t>
  </si>
  <si>
    <t>20901 TRUTH DRIVE</t>
  </si>
  <si>
    <t>ETTRICK</t>
  </si>
  <si>
    <t>(804) 520-2599</t>
  </si>
  <si>
    <t>4/13/1939</t>
  </si>
  <si>
    <t>11/19/1997</t>
  </si>
  <si>
    <t>229-50-4156</t>
  </si>
  <si>
    <t>DEAN-FORD</t>
  </si>
  <si>
    <t>FRANCINE</t>
  </si>
  <si>
    <t>346 RED OAK DRIVE</t>
  </si>
  <si>
    <t>(804) 479-9692</t>
  </si>
  <si>
    <t>8/20/1959</t>
  </si>
  <si>
    <t>12/29/2016</t>
  </si>
  <si>
    <t>230-04-8498</t>
  </si>
  <si>
    <t>Sun 2:00-3:45pm Week 1 &amp;4; Week Days 6:00-8:00pm Week 3</t>
  </si>
  <si>
    <t>DEMBY</t>
  </si>
  <si>
    <t>JOE</t>
  </si>
  <si>
    <t>MINISTRY-SUNDAY SERVICE/TRAUMA HEALING</t>
  </si>
  <si>
    <t>5550 VARGO LANE</t>
  </si>
  <si>
    <t>(804) 541-7133</t>
  </si>
  <si>
    <t>(804) 586-1698</t>
  </si>
  <si>
    <t>Sun 8:00-9:15am Week 4 HU1A</t>
  </si>
  <si>
    <t>DOOLEY</t>
  </si>
  <si>
    <t>DOROTHY</t>
  </si>
  <si>
    <t>6848 HEARTHSIDE DRIVE</t>
  </si>
  <si>
    <t>(804) 586-0731</t>
  </si>
  <si>
    <t>DUMOND</t>
  </si>
  <si>
    <t>MARTIN</t>
  </si>
  <si>
    <t>6433 SAWMILL ROAD</t>
  </si>
  <si>
    <t>(786) 303-3848</t>
  </si>
  <si>
    <t>(573) 528-8719</t>
  </si>
  <si>
    <t>EVANS</t>
  </si>
  <si>
    <t>KELLY</t>
  </si>
  <si>
    <t>REENTRY JOB FOR LIFE</t>
  </si>
  <si>
    <t>219 E. BANK STREET APT # 136</t>
  </si>
  <si>
    <t>(804) 982-0671</t>
  </si>
  <si>
    <t>1/23/1971</t>
  </si>
  <si>
    <t>7/17/2019</t>
  </si>
  <si>
    <t>plannerevent@yahoo.com</t>
  </si>
  <si>
    <t>228-27-7021</t>
  </si>
  <si>
    <t>Wed 9:00-11:00am HU1</t>
  </si>
  <si>
    <t>FARKAS</t>
  </si>
  <si>
    <t>GERALDINE (GERRIE)</t>
  </si>
  <si>
    <t>MINISTRY-BIBLE STUDY/TRAUMA HEALING GROUP</t>
  </si>
  <si>
    <t>4826 TATUM ROAD</t>
  </si>
  <si>
    <t>DISPUTANTA</t>
  </si>
  <si>
    <t>(804) 892-2625</t>
  </si>
  <si>
    <t>(804) 887-0627</t>
  </si>
  <si>
    <t>redhead254@juno.com</t>
  </si>
  <si>
    <t>Wed  (2nd &amp; 4th) 7:30-8:30pm HU2</t>
  </si>
  <si>
    <t>FIGGS</t>
  </si>
  <si>
    <t>JAMINE</t>
  </si>
  <si>
    <t>12619 CHESTER GROVE CIRCLE</t>
  </si>
  <si>
    <t>(804) 304-7930</t>
  </si>
  <si>
    <t>9/17/1973</t>
  </si>
  <si>
    <t>3/28/2018</t>
  </si>
  <si>
    <t>Christian Life Center</t>
  </si>
  <si>
    <t>jamine.figgs@christianlife.org</t>
  </si>
  <si>
    <t>559-91-5132</t>
  </si>
  <si>
    <t>Denise Lechaney</t>
  </si>
  <si>
    <t>(804)748-2224</t>
  </si>
  <si>
    <t>Non-denominational</t>
  </si>
  <si>
    <t>September</t>
  </si>
  <si>
    <t>Nondenominational</t>
  </si>
  <si>
    <t>1st &amp; 3rd Wed or 2nd &amp; 4th Sun 7:30pm-8:30pm</t>
  </si>
  <si>
    <t>FLOWERS</t>
  </si>
  <si>
    <t>MATTHEW</t>
  </si>
  <si>
    <t>1113 PIERCE STREET</t>
  </si>
  <si>
    <t>(804) 943-7270</t>
  </si>
  <si>
    <t>8/24/1950</t>
  </si>
  <si>
    <t>1/26/2018</t>
  </si>
  <si>
    <t>225-76-1846</t>
  </si>
  <si>
    <t>Mon 7:00-9:00pm HU5</t>
  </si>
  <si>
    <t>FLOYD II</t>
  </si>
  <si>
    <t>ALWYN</t>
  </si>
  <si>
    <t>P. O. BOX 622</t>
  </si>
  <si>
    <t>DINWIDDIE</t>
  </si>
  <si>
    <t>(804) 469-4262</t>
  </si>
  <si>
    <t>1/6/1967</t>
  </si>
  <si>
    <t>3/21/2018</t>
  </si>
  <si>
    <t>Covenant Bible Fellowship</t>
  </si>
  <si>
    <t>alwynfloyd@gmail.com</t>
  </si>
  <si>
    <t>231-23-7893</t>
  </si>
  <si>
    <t>Chuck Clawson`</t>
  </si>
  <si>
    <t>(804)731-2224</t>
  </si>
  <si>
    <t>Christian</t>
  </si>
  <si>
    <t>Wed 7:30-9:00pm HU2</t>
  </si>
  <si>
    <t>FREDMONSKY</t>
  </si>
  <si>
    <t>GREG</t>
  </si>
  <si>
    <t>4740 COCHISE TRAIL</t>
  </si>
  <si>
    <t>(912) 980-4742</t>
  </si>
  <si>
    <t>Sun 9:30-10:45am (1st &amp; 5th)-HU2A; Wed 8:00am-2:00pm</t>
  </si>
  <si>
    <t>FREEMAN</t>
  </si>
  <si>
    <t>DUANE</t>
  </si>
  <si>
    <t>MINISTRY-SUNDAY SERVICE/ADMINISTRATIVE</t>
  </si>
  <si>
    <t>5620 WEST CREEK ROAD</t>
  </si>
  <si>
    <t>AMELIA</t>
  </si>
  <si>
    <t>(804) 477-4668</t>
  </si>
  <si>
    <t>1/19/1956</t>
  </si>
  <si>
    <t>Hope Chapel Four Square</t>
  </si>
  <si>
    <t>duanefreeman52@yahoo.com</t>
  </si>
  <si>
    <t>229-86-0050</t>
  </si>
  <si>
    <t>Dave Muckel</t>
  </si>
  <si>
    <t>BIBLE DISTRIBUTION</t>
  </si>
  <si>
    <t>1st &amp; 3rd Wed 7:30-8:30pm</t>
  </si>
  <si>
    <t>FULLER</t>
  </si>
  <si>
    <t>GREGORY</t>
  </si>
  <si>
    <t>13514 SOUTH CRATER ROAD</t>
  </si>
  <si>
    <t>(804) 895-4850</t>
  </si>
  <si>
    <t>3/11/1963</t>
  </si>
  <si>
    <t>1/20/2001</t>
  </si>
  <si>
    <t>(804) 798- 2470</t>
  </si>
  <si>
    <t>228-17-8190</t>
  </si>
  <si>
    <t>2ND ID</t>
  </si>
  <si>
    <t>GALLEMORE</t>
  </si>
  <si>
    <t>SHAKIMA</t>
  </si>
  <si>
    <t>REENTRY GROUP FACILITATOR</t>
  </si>
  <si>
    <t>3905 LONDON ROAD</t>
  </si>
  <si>
    <t>(804) 943-3702</t>
  </si>
  <si>
    <t>2/18/1991</t>
  </si>
  <si>
    <t>6/27/2019</t>
  </si>
  <si>
    <t>shakimag@yahoo.com6</t>
  </si>
  <si>
    <t>150-90-0062</t>
  </si>
  <si>
    <t>February</t>
  </si>
  <si>
    <t>1st &amp; 3rd Wed or  2nd &amp; 4th Sun 7:30pm-8:30pm</t>
  </si>
  <si>
    <t>GARNER</t>
  </si>
  <si>
    <t>YAHSHEEN</t>
  </si>
  <si>
    <t>719 E WYTHE STREET</t>
  </si>
  <si>
    <t>(908) 247-7801</t>
  </si>
  <si>
    <t>6/7/1974</t>
  </si>
  <si>
    <t>6/19/2019</t>
  </si>
  <si>
    <t>156-68-8811</t>
  </si>
  <si>
    <t>JUNE</t>
  </si>
  <si>
    <t>1st &amp; 3rd Wed or 2nd  &amp; 4th Sun 7:30pm-8:30pm</t>
  </si>
  <si>
    <t>RONNIE</t>
  </si>
  <si>
    <t>719 E. WYTHE STREET</t>
  </si>
  <si>
    <t>(908) 247-8561</t>
  </si>
  <si>
    <t>11/8/1966</t>
  </si>
  <si>
    <t>141-62-6436</t>
  </si>
  <si>
    <t>Tue 7:30-9:30pm</t>
  </si>
  <si>
    <t>GATTTIS</t>
  </si>
  <si>
    <t>ALAN</t>
  </si>
  <si>
    <t>300 RIDGE ROAD</t>
  </si>
  <si>
    <t>(804) 712-1707</t>
  </si>
  <si>
    <t>8/4/1957</t>
  </si>
  <si>
    <t>8/9/2013</t>
  </si>
  <si>
    <t>Matoaca Christian Fellowship</t>
  </si>
  <si>
    <t>res1e2ws@verizon.net</t>
  </si>
  <si>
    <t>225-86-7387</t>
  </si>
  <si>
    <t>7700 River Road, Matoaca, VA 23803</t>
  </si>
  <si>
    <t>Ryan B. Atchison</t>
  </si>
  <si>
    <t>(804) 590-2375</t>
  </si>
  <si>
    <t>2nd &amp; 4th Mon 8:00pm-9:00pm</t>
  </si>
  <si>
    <t>GIBSON</t>
  </si>
  <si>
    <t>BETSY</t>
  </si>
  <si>
    <t>16030 SEARCHLIGHT COURT</t>
  </si>
  <si>
    <t>(804) 479-2048</t>
  </si>
  <si>
    <t>1/23/1964</t>
  </si>
  <si>
    <t>4/13/2011</t>
  </si>
  <si>
    <t>225-19-0223</t>
  </si>
  <si>
    <t>Wed 9:00am-3:00pm</t>
  </si>
  <si>
    <t>GREEN</t>
  </si>
  <si>
    <t>CAROL</t>
  </si>
  <si>
    <t>1 SURRY LANE</t>
  </si>
  <si>
    <t>(804) 709-2775</t>
  </si>
  <si>
    <t>(646) 709-2775</t>
  </si>
  <si>
    <t>10/7/1955</t>
  </si>
  <si>
    <t>6/17/2019</t>
  </si>
  <si>
    <t>Mt. Pleasant Baptist</t>
  </si>
  <si>
    <t>cgreen1839@gmail.com</t>
  </si>
  <si>
    <t>129-46-7729</t>
  </si>
  <si>
    <t>commitment agreement, do and don’t, credentials, dob, doh, church information, race, gender, ssn</t>
  </si>
  <si>
    <t>Dr. Joey Anthony</t>
  </si>
  <si>
    <t>Baptist</t>
  </si>
  <si>
    <t>HALL</t>
  </si>
  <si>
    <t>EMILY</t>
  </si>
  <si>
    <t>23923 RIVER ROAD</t>
  </si>
  <si>
    <t>NORTH DINWIDDIE</t>
  </si>
  <si>
    <t>(804) 720-5292</t>
  </si>
  <si>
    <t>9/13/1962</t>
  </si>
  <si>
    <t>12/7/2021</t>
  </si>
  <si>
    <t>ehall@d19csb.com</t>
  </si>
  <si>
    <t>225-08-4377</t>
  </si>
  <si>
    <t>Fri 9:00-10:30am/Sun 9:30-11:00am HU6 Males</t>
  </si>
  <si>
    <t>HAMILTON</t>
  </si>
  <si>
    <t>MINISTRY-BIBLE STUDY/SUNDAY SERVICE</t>
  </si>
  <si>
    <t>14200 PHYSIC HILL ROAD</t>
  </si>
  <si>
    <t>(804) 739-1991</t>
  </si>
  <si>
    <t>(804) 739-1096</t>
  </si>
  <si>
    <t>9/18/1952</t>
  </si>
  <si>
    <t>10/23/2015</t>
  </si>
  <si>
    <t>Manchester Baptist</t>
  </si>
  <si>
    <t>newdawnproperty@verizon.net</t>
  </si>
  <si>
    <t>224-78-7768</t>
  </si>
  <si>
    <t>credentials, dob, doh, church information, race, gender, ssn</t>
  </si>
  <si>
    <t>9515 Winterpock Road, Chesterfield, VA 23832</t>
  </si>
  <si>
    <t>Wayne Porter</t>
  </si>
  <si>
    <t>Sun 9:35-11:00am HU6 Females</t>
  </si>
  <si>
    <t>TAMMY</t>
  </si>
  <si>
    <t>8/16/1964</t>
  </si>
  <si>
    <t>2/6/2017</t>
  </si>
  <si>
    <t>231-78-8540</t>
  </si>
  <si>
    <t>4th Sun 2:00-3:45pm HU1B</t>
  </si>
  <si>
    <t>HARRELL</t>
  </si>
  <si>
    <t>KIM</t>
  </si>
  <si>
    <t>3785 IMPALA DRIVE</t>
  </si>
  <si>
    <t>(804) 721-7400</t>
  </si>
  <si>
    <t>1st Sun 7:30-9:00pm HU4</t>
  </si>
  <si>
    <t>(804) 721-7457</t>
  </si>
  <si>
    <t>Tue 9:45am HU2; Wed 10:00am HU3; Thu 10:00am HU5</t>
  </si>
  <si>
    <t>HARRISON</t>
  </si>
  <si>
    <t>JEROME</t>
  </si>
  <si>
    <t>772 KIRKHAM STREET</t>
  </si>
  <si>
    <t>(804) 732-3556</t>
  </si>
  <si>
    <t>(804) 712-9264</t>
  </si>
  <si>
    <t>JEHOVAH WITNESS</t>
  </si>
  <si>
    <t>1st Sun 8:00-9:15am HU1A; 9:30-10:45am HU1CB/MH Females</t>
  </si>
  <si>
    <t>HAYDEN</t>
  </si>
  <si>
    <t>ANDREA</t>
  </si>
  <si>
    <t>300 HODDER LANE</t>
  </si>
  <si>
    <t>HIGHLAND SPRINGS</t>
  </si>
  <si>
    <t>(804) 337-2660</t>
  </si>
  <si>
    <t>HENDERSON</t>
  </si>
  <si>
    <t>MARCUS</t>
  </si>
  <si>
    <t>RE-ENTRY WORKFORCE</t>
  </si>
  <si>
    <t>509 HULL STREET</t>
  </si>
  <si>
    <t>(804) 490-2849</t>
  </si>
  <si>
    <t>7/6/1992</t>
  </si>
  <si>
    <t>11/20/2023</t>
  </si>
  <si>
    <t>min2044@gmail.com</t>
  </si>
  <si>
    <t>229-65-5091</t>
  </si>
  <si>
    <t>Tue pm-HU5</t>
  </si>
  <si>
    <t>HENNINGHAN</t>
  </si>
  <si>
    <t>LUTHER</t>
  </si>
  <si>
    <t>MINISTRY-BIBLE STUDY/TRAUMA HEALING</t>
  </si>
  <si>
    <t>600 COWARDIN AVENUE, APT. 213</t>
  </si>
  <si>
    <t>(704) 674-5344</t>
  </si>
  <si>
    <t>Thu pm-7:30-9:00pm HU1CB/MH Females</t>
  </si>
  <si>
    <t>HIGGANS</t>
  </si>
  <si>
    <t>FELICIA</t>
  </si>
  <si>
    <t>P.O. BOX 151</t>
  </si>
  <si>
    <t>HENRICO</t>
  </si>
  <si>
    <t>(804) 402-4249</t>
  </si>
  <si>
    <t>SWAT</t>
  </si>
  <si>
    <t>Sun (2nd/5th) 8:00-9:15am HU3A/C/D; 9:30-10:45am HU3B/E/1CC/MH Men; 7:30-9:00pm HU5</t>
  </si>
  <si>
    <t>HIGGS</t>
  </si>
  <si>
    <t>RODNEY</t>
  </si>
  <si>
    <t>5494 MUZZLE COURT</t>
  </si>
  <si>
    <t>MECHANICSVILLE</t>
  </si>
  <si>
    <t>(757) 681-2576</t>
  </si>
  <si>
    <t>(804) 803-0378</t>
  </si>
  <si>
    <t>1/8/1965</t>
  </si>
  <si>
    <t>8/31/1999</t>
  </si>
  <si>
    <t>Richmond Christian Center</t>
  </si>
  <si>
    <t>226-21-6039</t>
  </si>
  <si>
    <t>214 Cowardin Avenue, Richmond, VA</t>
  </si>
  <si>
    <t>Steve Parson, Sr.</t>
  </si>
  <si>
    <t>3rd Sun 8:00-9:15am HU3A, C, D</t>
  </si>
  <si>
    <t>HILL</t>
  </si>
  <si>
    <t>TERRY</t>
  </si>
  <si>
    <t>280 OAKWOOD DRIVE</t>
  </si>
  <si>
    <t>SURRY</t>
  </si>
  <si>
    <t>(757) 294-3133</t>
  </si>
  <si>
    <t>HINES II</t>
  </si>
  <si>
    <t>AUTIE</t>
  </si>
  <si>
    <t>7909 SOUTHFORD TERRANCE</t>
  </si>
  <si>
    <t>(804) 822-7855</t>
  </si>
  <si>
    <t>9/14/1961</t>
  </si>
  <si>
    <t>9/14/2022</t>
  </si>
  <si>
    <t>ahines@mcmserves.org</t>
  </si>
  <si>
    <t>563-33-1052</t>
  </si>
  <si>
    <t>Alternate</t>
  </si>
  <si>
    <t>HOLMES</t>
  </si>
  <si>
    <t>WILLIAM</t>
  </si>
  <si>
    <t>8100 COUNTRYSIDE CROSSINGS COURT</t>
  </si>
  <si>
    <t>(804) 507-0517</t>
  </si>
  <si>
    <t>(804) 389-1978</t>
  </si>
  <si>
    <t>HUCKS</t>
  </si>
  <si>
    <t>STAFFORD</t>
  </si>
  <si>
    <t>128 S SYCAMORE STREET</t>
  </si>
  <si>
    <t>(804) 895-5837</t>
  </si>
  <si>
    <t>7/20/1957</t>
  </si>
  <si>
    <t>12/6/2017</t>
  </si>
  <si>
    <t>579-86-7630</t>
  </si>
  <si>
    <t>3rd Sun 2:00-3:45pm HU1B</t>
  </si>
  <si>
    <t>HUMPHRIES</t>
  </si>
  <si>
    <t>PENNY</t>
  </si>
  <si>
    <t>9903 RIVER ROAD</t>
  </si>
  <si>
    <t>SOUTH CHESTERFIELD</t>
  </si>
  <si>
    <t>(804) 691-1324</t>
  </si>
  <si>
    <t>3rd Fri 9:00am-11:30am/Fri 7:30pm-8:30pm</t>
  </si>
  <si>
    <t>JACKSON</t>
  </si>
  <si>
    <t>LORENZO</t>
  </si>
  <si>
    <t>ALAMO RECOVERY CENTER/ AA MEETINGS/ANGER MANAGEMENT GROUP</t>
  </si>
  <si>
    <t>35 SOUTH MARKET STREET</t>
  </si>
  <si>
    <t>(804) 479-2342</t>
  </si>
  <si>
    <t>4/18/1960</t>
  </si>
  <si>
    <t>228-06-4047</t>
  </si>
  <si>
    <t>April</t>
  </si>
  <si>
    <t>4th Sun 9:30-10:45am HU1CB &amp; MH females</t>
  </si>
  <si>
    <t>ELIZABETH</t>
  </si>
  <si>
    <t>500 GLENMEADOW TERRACE</t>
  </si>
  <si>
    <t>MIDLOTHIAN</t>
  </si>
  <si>
    <t>(804) 794-8213</t>
  </si>
  <si>
    <t>(804) 551-1611</t>
  </si>
  <si>
    <t>5/13/1948</t>
  </si>
  <si>
    <t>2/2/2004</t>
  </si>
  <si>
    <t>Abundant Life Church of Christ</t>
  </si>
  <si>
    <t>einnabj@gmail.com</t>
  </si>
  <si>
    <t>010-40-2774</t>
  </si>
  <si>
    <t>3300 Neale Street, Mechanicsville, VA</t>
  </si>
  <si>
    <t>Steve Foreman</t>
  </si>
  <si>
    <t>4TH SUN 9:30-10:45AM HU2A</t>
  </si>
  <si>
    <t>SOLLY</t>
  </si>
  <si>
    <t>(804) 382-5144</t>
  </si>
  <si>
    <t>11/17/1946</t>
  </si>
  <si>
    <t>6/8/2004</t>
  </si>
  <si>
    <t>sollyvj1@gmail.com</t>
  </si>
  <si>
    <t>224-64-5381</t>
  </si>
  <si>
    <t>Sun 8:00-9:15am HU2D &amp; E</t>
  </si>
  <si>
    <t>JACKSON JR.</t>
  </si>
  <si>
    <t>BENJAMIN</t>
  </si>
  <si>
    <t>5501 DUNROMING COURT</t>
  </si>
  <si>
    <t>(804) 349-8024</t>
  </si>
  <si>
    <t>AS REQUESTED</t>
  </si>
  <si>
    <t>JANG</t>
  </si>
  <si>
    <t>SUNG JOON</t>
  </si>
  <si>
    <t>MINISTRY-RESEARCH TRAUMA HEALING</t>
  </si>
  <si>
    <t>6504 COSTA DRIVE</t>
  </si>
  <si>
    <t>WACO</t>
  </si>
  <si>
    <t>TX</t>
  </si>
  <si>
    <t>(225) 603-9910</t>
  </si>
  <si>
    <t>BAYLOR UNIVERSITY/AMERICAN BIBLE SOCIETY</t>
  </si>
  <si>
    <t>SUN 7:30-9:00pm HU2B</t>
  </si>
  <si>
    <t>JARMON</t>
  </si>
  <si>
    <t>NYLES</t>
  </si>
  <si>
    <t>20306 STONEWOOD MANOR DRIVE</t>
  </si>
  <si>
    <t>(804) 479-2162</t>
  </si>
  <si>
    <t>(804) 720-3404</t>
  </si>
  <si>
    <t>2ND SUN 8:00-9:15AM HU1A; 9:30-10:45AM HU1CB/MH FEMALES</t>
  </si>
  <si>
    <t>JEFFERSON</t>
  </si>
  <si>
    <t>ALBERTA</t>
  </si>
  <si>
    <t>6416 OMO ROAD</t>
  </si>
  <si>
    <t>(804) 303-3045</t>
  </si>
  <si>
    <t>JEFFERSON JR.</t>
  </si>
  <si>
    <t>(804) 663-8085</t>
  </si>
  <si>
    <t>JENNINGS-COOPER</t>
  </si>
  <si>
    <t>RENEE</t>
  </si>
  <si>
    <t>11428 CEDAR RUN ROAD</t>
  </si>
  <si>
    <t>(804) 895-5907</t>
  </si>
  <si>
    <t>10/7/1970</t>
  </si>
  <si>
    <t>Rjennings-cooper@d19csb.com</t>
  </si>
  <si>
    <t>224-04-2310</t>
  </si>
  <si>
    <t>JOHNSON</t>
  </si>
  <si>
    <t>BYRON</t>
  </si>
  <si>
    <t>107 BRADFORD SQUARE</t>
  </si>
  <si>
    <t>WOODWAS</t>
  </si>
  <si>
    <t>(254) 710-7555</t>
  </si>
  <si>
    <t>(254) 716-0880</t>
  </si>
  <si>
    <t>Mon &amp; Wed 8:00am - 4:30pm</t>
  </si>
  <si>
    <t>JONES</t>
  </si>
  <si>
    <t>KEITH</t>
  </si>
  <si>
    <t>MINISTRY-SPIRITUAL COUNSELOR</t>
  </si>
  <si>
    <t>25905 WEAKLEY ROAD</t>
  </si>
  <si>
    <t>(804) 721-6466</t>
  </si>
  <si>
    <t>4/6/1961</t>
  </si>
  <si>
    <t>3/9/2018</t>
  </si>
  <si>
    <t>NOW FAITH THAT WORKS</t>
  </si>
  <si>
    <t>License</t>
  </si>
  <si>
    <t>LICENSE</t>
  </si>
  <si>
    <t>229-02-0616</t>
  </si>
  <si>
    <t>Monday &amp; Wednesday</t>
  </si>
  <si>
    <t>2nd Sat 2:00pm-4:00pm</t>
  </si>
  <si>
    <t>JORDAN</t>
  </si>
  <si>
    <t>CHANIE</t>
  </si>
  <si>
    <t>PARENTING CLASS</t>
  </si>
  <si>
    <t>9137 COOL AUTUMN DRIVE</t>
  </si>
  <si>
    <t>(804) 393-0110</t>
  </si>
  <si>
    <t>10/22/1955</t>
  </si>
  <si>
    <t>2/9/2018</t>
  </si>
  <si>
    <t>225-86-3011</t>
  </si>
  <si>
    <t>Mon-Fri 9:00am-11:00am</t>
  </si>
  <si>
    <t>FRANKIE</t>
  </si>
  <si>
    <t>REENTRY REGENSIS HOUSING</t>
  </si>
  <si>
    <t>115 NORTH MARKET STREET</t>
  </si>
  <si>
    <t>(804) 481-0266</t>
  </si>
  <si>
    <t>11/25/1961</t>
  </si>
  <si>
    <t>11/30/2016</t>
  </si>
  <si>
    <t>230-94-0933</t>
  </si>
  <si>
    <t>MON 9:00-10:00AM HU1A,B; WED 2:00-3:00PM HU1CB; Sat 1:00-2:30pm HU6</t>
  </si>
  <si>
    <t>KENISTON-POND</t>
  </si>
  <si>
    <t>KYMBERLY</t>
  </si>
  <si>
    <t>18611 ROLLINGSIDE DRIVE</t>
  </si>
  <si>
    <t>(804) 931-6688</t>
  </si>
  <si>
    <t>3RD SUN 8:00-9:15AM HU3A, C, D</t>
  </si>
  <si>
    <t>KINDRED</t>
  </si>
  <si>
    <t>ALFRED</t>
  </si>
  <si>
    <t>561 COLLEGE RUN DRIVE</t>
  </si>
  <si>
    <t>(757) 593-8561</t>
  </si>
  <si>
    <t>KING</t>
  </si>
  <si>
    <t>DARNELLA</t>
  </si>
  <si>
    <t>13 CEDARCROFT COURT</t>
  </si>
  <si>
    <t>(804) 299-1798</t>
  </si>
  <si>
    <t>10/11/1966</t>
  </si>
  <si>
    <t>1/3/2024</t>
  </si>
  <si>
    <t>darnellabillups@gmail.com</t>
  </si>
  <si>
    <t>227-25-0182</t>
  </si>
  <si>
    <t>SAT 08:15-9:15AM HU1</t>
  </si>
  <si>
    <t>LASKOWSKI</t>
  </si>
  <si>
    <t>CATHERINE</t>
  </si>
  <si>
    <t>MINISTRY-CATHOLIC STUDY</t>
  </si>
  <si>
    <t>5323 THORNINGTON DRIVE</t>
  </si>
  <si>
    <t>(804) 748-0527</t>
  </si>
  <si>
    <t>CATHOLIC</t>
  </si>
  <si>
    <t>WED 9:00-10:00AM HU3</t>
  </si>
  <si>
    <t>LEWIS</t>
  </si>
  <si>
    <t>8319 HOPKINS ROAD</t>
  </si>
  <si>
    <t>(804) 271-8219</t>
  </si>
  <si>
    <t>(804) 241-2153</t>
  </si>
  <si>
    <t>CHURCH OF CHRIST</t>
  </si>
  <si>
    <t>CHRISTIAN-COC</t>
  </si>
  <si>
    <t>SAT 9:00-11:00AM HU3C, D, E</t>
  </si>
  <si>
    <t>LIGHT</t>
  </si>
  <si>
    <t>BARRY</t>
  </si>
  <si>
    <t>14649 WINDJAMMER DRIVE</t>
  </si>
  <si>
    <t>(804) 641-6467</t>
  </si>
  <si>
    <t>MASON</t>
  </si>
  <si>
    <t>DARRELL</t>
  </si>
  <si>
    <t>301 N. DUNLOP STREET</t>
  </si>
  <si>
    <t>(804) 255-5330</t>
  </si>
  <si>
    <t>4/5/1958</t>
  </si>
  <si>
    <t>226-90-3812</t>
  </si>
  <si>
    <t>TUE 9:00-11:00AM HU1A; FRI 9-11AM 1B; SUN-SAT 6-8PM 2ND WEEK</t>
  </si>
  <si>
    <t>MATTHEWS</t>
  </si>
  <si>
    <t>SYLVIA</t>
  </si>
  <si>
    <t>MINSTRY-BIBLE STUDY/TRAUMA HEALING GROUP</t>
  </si>
  <si>
    <t>1806 ARCH STREET</t>
  </si>
  <si>
    <t>(804) 861-2601</t>
  </si>
  <si>
    <t>(804) 691-0710</t>
  </si>
  <si>
    <t>4/5/1941</t>
  </si>
  <si>
    <t>5/10/2017</t>
  </si>
  <si>
    <t>Monumental Baptist</t>
  </si>
  <si>
    <t>CPTCLWN@AOL.COM</t>
  </si>
  <si>
    <t>225-50-3513</t>
  </si>
  <si>
    <t>2925 South Crater Road, Petersburg, VA 23805</t>
  </si>
  <si>
    <t>Dr. Barry Ginn</t>
  </si>
  <si>
    <t>(804) 733-8484</t>
  </si>
  <si>
    <t>Monday -Saturday anytime; Sundays after 1430 hours</t>
  </si>
  <si>
    <t>2nd &amp; 4th Wed 7:30pm-8:30pm</t>
  </si>
  <si>
    <t>MCDUFF</t>
  </si>
  <si>
    <t>JOHN</t>
  </si>
  <si>
    <t>12533 RICHMOND STREET</t>
  </si>
  <si>
    <t>(757) 560-0942</t>
  </si>
  <si>
    <t>11/15/1972</t>
  </si>
  <si>
    <t>587-06-2958</t>
  </si>
  <si>
    <t>MCGUIRE</t>
  </si>
  <si>
    <t>GRIFFIN</t>
  </si>
  <si>
    <t>11430 SMOKETREE DRIVE</t>
  </si>
  <si>
    <t>(804) 379-3202</t>
  </si>
  <si>
    <t>(804) 305-0163</t>
  </si>
  <si>
    <t>2/23/1956</t>
  </si>
  <si>
    <t>8/31/2018</t>
  </si>
  <si>
    <t>Mount Herman Baptist</t>
  </si>
  <si>
    <t>griffin.mcguire@cc.virginia.gov</t>
  </si>
  <si>
    <t>350-52-6005</t>
  </si>
  <si>
    <t>Moseley, VA</t>
  </si>
  <si>
    <t>Lee Ellison</t>
  </si>
  <si>
    <t>(804) 921-6010</t>
  </si>
  <si>
    <t>Friday after 1330 hrs; Saturday anytime; Sunday after 1300 hrs</t>
  </si>
  <si>
    <t>MCMILLAN</t>
  </si>
  <si>
    <t>MONICA</t>
  </si>
  <si>
    <t>329 FRESH MEADOWS ROAD</t>
  </si>
  <si>
    <t>LAWRENCEVILLE</t>
  </si>
  <si>
    <t>(717) 557-4039</t>
  </si>
  <si>
    <t>10/12/1976</t>
  </si>
  <si>
    <t>mmcmillan@mcmserves.org</t>
  </si>
  <si>
    <t>227-45-1065</t>
  </si>
  <si>
    <t>MCREYNOLDS</t>
  </si>
  <si>
    <t>TRACEY</t>
  </si>
  <si>
    <t>REENTRY REGENESIS HOUSING</t>
  </si>
  <si>
    <t>1578 BRANDON AVENUE</t>
  </si>
  <si>
    <t>(804) 712-7620</t>
  </si>
  <si>
    <t>8/23/1968</t>
  </si>
  <si>
    <t>7/25/2006</t>
  </si>
  <si>
    <t>397-86-5741</t>
  </si>
  <si>
    <t>GARY</t>
  </si>
  <si>
    <t>(804) 720-5473</t>
  </si>
  <si>
    <t>6/6/1964</t>
  </si>
  <si>
    <t>232-17-9152</t>
  </si>
  <si>
    <t>2ND SUN 9:30-10:45AM HU2A</t>
  </si>
  <si>
    <t>MERRIWEATHER</t>
  </si>
  <si>
    <t>ANTHONY</t>
  </si>
  <si>
    <t>3234 GARRETT STREET</t>
  </si>
  <si>
    <t>(804) 712-5431</t>
  </si>
  <si>
    <t>(804) 359-0554</t>
  </si>
  <si>
    <t>MICHAELIS</t>
  </si>
  <si>
    <t>SCOTT</t>
  </si>
  <si>
    <t>MINISTRY-TRAUMA HEALING/COUNSELING</t>
  </si>
  <si>
    <t>4930 COOL SPRING DRIVE</t>
  </si>
  <si>
    <t>(804) 339-0346</t>
  </si>
  <si>
    <t>4/13/1965</t>
  </si>
  <si>
    <t>11/1/2016</t>
  </si>
  <si>
    <t>Colonial Baptist Church</t>
  </si>
  <si>
    <t>scottmichaelis@comcast.net</t>
  </si>
  <si>
    <t>217-72-1430</t>
  </si>
  <si>
    <t>Randy Hahn</t>
  </si>
  <si>
    <t>(804) 526-0424</t>
  </si>
  <si>
    <t>Monday evenings</t>
  </si>
  <si>
    <t>Mon 9:30am-11:00am HU1A/B; Wed 1:00-2:00pm HU1CB; Sat 1:00-2:30pm HU6</t>
  </si>
  <si>
    <t>MIDDLETON</t>
  </si>
  <si>
    <t>ELSA</t>
  </si>
  <si>
    <t>MINISTRY-BIBLE STUDY/SPANISH TRANSLATORTERPRETER/SPANISH</t>
  </si>
  <si>
    <t>1871 PENDER AVENUE</t>
  </si>
  <si>
    <t>(804) 720-8903</t>
  </si>
  <si>
    <t>7/14/1954</t>
  </si>
  <si>
    <t>emiddleton6@gmail.com</t>
  </si>
  <si>
    <t>552-98-9314</t>
  </si>
  <si>
    <t>3RD SUN 9:30-10:45 HU3B, E, 1CC,MH MALES</t>
  </si>
  <si>
    <t>MILLER</t>
  </si>
  <si>
    <t>TONY</t>
  </si>
  <si>
    <t>13001 CROWN RIDGE LOOP #102</t>
  </si>
  <si>
    <t>(804) 536-5252</t>
  </si>
  <si>
    <t>5/27/1966</t>
  </si>
  <si>
    <t>2/28/2017</t>
  </si>
  <si>
    <t>Mt. Gilead Full Gospel</t>
  </si>
  <si>
    <t>chelestony1@aol.com</t>
  </si>
  <si>
    <t>230-25-7866</t>
  </si>
  <si>
    <t>Daniel Robertson JR</t>
  </si>
  <si>
    <t>Non-Denominational</t>
  </si>
  <si>
    <t>Sat 10:00-11:00am/Fri 7:30-9:30pm</t>
  </si>
  <si>
    <t>MINCKS</t>
  </si>
  <si>
    <t>JEFFREY</t>
  </si>
  <si>
    <t>AA MEETINGS/MINISTRY-CATHOLIC SERVICE</t>
  </si>
  <si>
    <t>209 CHESTERFIELD AVENUE</t>
  </si>
  <si>
    <t>(804) 748-1491</t>
  </si>
  <si>
    <t>(804) 536-8291</t>
  </si>
  <si>
    <t>8/25/1953</t>
  </si>
  <si>
    <t>5/5/2005</t>
  </si>
  <si>
    <t>St. Anns Catholic Church</t>
  </si>
  <si>
    <t>mincksj@chestefield.gov</t>
  </si>
  <si>
    <t>289-44-1182</t>
  </si>
  <si>
    <t>17111 JEFFERSON DAVIS HIGHWAY</t>
  </si>
  <si>
    <t>LOUIS RUOFF</t>
  </si>
  <si>
    <t>804-526-2548</t>
  </si>
  <si>
    <t>Music Minister</t>
  </si>
  <si>
    <t>MINISTRY/SECULAR</t>
  </si>
  <si>
    <t>Catholic Service</t>
  </si>
  <si>
    <t>MINES</t>
  </si>
  <si>
    <t>BRENDA</t>
  </si>
  <si>
    <t>MINISTRY-ADMINISTRATIVE ASSISTANT</t>
  </si>
  <si>
    <t>13208 BRADLEY BRIDGE ROAD</t>
  </si>
  <si>
    <t>12/3/1943</t>
  </si>
  <si>
    <t>12/11/2017</t>
  </si>
  <si>
    <t>First Baptist Church</t>
  </si>
  <si>
    <t>227-62-4533</t>
  </si>
  <si>
    <t>Harrison Street, Petersburg</t>
  </si>
  <si>
    <t>Jeremiah Tillman</t>
  </si>
  <si>
    <t>INACTIVE</t>
  </si>
  <si>
    <t>1ST SUN 2:00-3:45PM HU1B</t>
  </si>
  <si>
    <t>MODIRI</t>
  </si>
  <si>
    <t>ROB</t>
  </si>
  <si>
    <t>4507 WILDWOOD DRIVE</t>
  </si>
  <si>
    <t>(757) 894-3585</t>
  </si>
  <si>
    <t>(804) 720-1752</t>
  </si>
  <si>
    <t>VIOLET</t>
  </si>
  <si>
    <t>V A</t>
  </si>
  <si>
    <t>9/10/1974</t>
  </si>
  <si>
    <t>2/18/2018</t>
  </si>
  <si>
    <t>Destination Church</t>
  </si>
  <si>
    <t>vmodiri@liberty.edu</t>
  </si>
  <si>
    <t>225-17-1433</t>
  </si>
  <si>
    <t>Thursday10:00am-2:00pm</t>
  </si>
  <si>
    <t>1st &amp; 3rd SUN 8:30-9:15AM HU1A</t>
  </si>
  <si>
    <t>MOODY</t>
  </si>
  <si>
    <t>REBECCA</t>
  </si>
  <si>
    <t>MINSTRY-SUNDAY SERVICE</t>
  </si>
  <si>
    <t>2315 DELROSE DRIVE</t>
  </si>
  <si>
    <t>(804) 541-3967</t>
  </si>
  <si>
    <t>(804) 514-5900</t>
  </si>
  <si>
    <t>10/27/1954</t>
  </si>
  <si>
    <t>Friendship Baptist</t>
  </si>
  <si>
    <t>moody2315d@aol.com</t>
  </si>
  <si>
    <t>230-86-0052</t>
  </si>
  <si>
    <t>1305 Arlington Road, Hopewell, VA 23860</t>
  </si>
  <si>
    <t>Norwood Carson</t>
  </si>
  <si>
    <t>MORGAN</t>
  </si>
  <si>
    <t>BEVERLY</t>
  </si>
  <si>
    <t>HIV/ HEP C TESTING COUNSELOR</t>
  </si>
  <si>
    <t>2246 CONCORD AVENUE</t>
  </si>
  <si>
    <t>(804) 386-6354</t>
  </si>
  <si>
    <t>8/26/1981</t>
  </si>
  <si>
    <t>10/25/2017</t>
  </si>
  <si>
    <t>228-35-1496</t>
  </si>
  <si>
    <t>MORRIS</t>
  </si>
  <si>
    <t>REGINA</t>
  </si>
  <si>
    <t>5309 DALGLISH ROAD</t>
  </si>
  <si>
    <t>(804) 909-0297</t>
  </si>
  <si>
    <t>11/8/1971</t>
  </si>
  <si>
    <t>2/15/2018</t>
  </si>
  <si>
    <t>228-41-3417</t>
  </si>
  <si>
    <t>Tues &amp; Fri 2:00pm-3:00pm</t>
  </si>
  <si>
    <t>MUNFORD</t>
  </si>
  <si>
    <t>MARCIA</t>
  </si>
  <si>
    <t>CAREER READINESS</t>
  </si>
  <si>
    <t>5105 TIFFANYWOODS LANE</t>
  </si>
  <si>
    <t>(804) 212-7864</t>
  </si>
  <si>
    <t>10/5/1953</t>
  </si>
  <si>
    <t>4/18/2018</t>
  </si>
  <si>
    <t>225-82-0090</t>
  </si>
  <si>
    <t>2nd &amp; 3rd Sat 8:00am-9:00am</t>
  </si>
  <si>
    <t>NETZLEY</t>
  </si>
  <si>
    <t>MARY</t>
  </si>
  <si>
    <t>3812 PUDDLEDOCK ROAD # 26</t>
  </si>
  <si>
    <t>(804) 920-0401</t>
  </si>
  <si>
    <t>1/14/1939</t>
  </si>
  <si>
    <t>7/13/2016</t>
  </si>
  <si>
    <t>229-48-1207</t>
  </si>
  <si>
    <t>Wed 7:30pm-8:30pm/ 1st &amp; 3rd Fri 9:00am-11:00am</t>
  </si>
  <si>
    <t>PABON-TORRES</t>
  </si>
  <si>
    <t>RICARDO</t>
  </si>
  <si>
    <t>MINISTSRY-BIBLE STUDY/COUNSELING</t>
  </si>
  <si>
    <t>5425 WILLOW OAK DRIVE</t>
  </si>
  <si>
    <t>(804) 255-3201</t>
  </si>
  <si>
    <t>9/22/1967</t>
  </si>
  <si>
    <t>8/14/2019</t>
  </si>
  <si>
    <t>Life Church</t>
  </si>
  <si>
    <t>ricardo.pabontorres@gmail.com</t>
  </si>
  <si>
    <t>581-45-6114</t>
  </si>
  <si>
    <t>Colonial Heights, VA 23834</t>
  </si>
  <si>
    <t>Scott Tischler</t>
  </si>
  <si>
    <t>PAGE</t>
  </si>
  <si>
    <t>CLARENCE</t>
  </si>
  <si>
    <t>320 EASTMAN AVENUE</t>
  </si>
  <si>
    <t>(804) 894-5709</t>
  </si>
  <si>
    <t>12/8/1959</t>
  </si>
  <si>
    <t>9/18/2018</t>
  </si>
  <si>
    <t>227-92-3582</t>
  </si>
  <si>
    <t>Tues or Thurs 9:00am-11:00am</t>
  </si>
  <si>
    <t>PARRISH</t>
  </si>
  <si>
    <t>APRIL</t>
  </si>
  <si>
    <t>123 WRIGHT AVENUE APT A</t>
  </si>
  <si>
    <t>(804) 451-4481</t>
  </si>
  <si>
    <t>(304) 657-6739</t>
  </si>
  <si>
    <t>3/2/1983</t>
  </si>
  <si>
    <t>232-25-2357</t>
  </si>
  <si>
    <t>TUE 7:30-9:00PM HU5</t>
  </si>
  <si>
    <t>PATTERSON</t>
  </si>
  <si>
    <t>JAMES</t>
  </si>
  <si>
    <t>2612 PERRY STREET</t>
  </si>
  <si>
    <t>(804) 731-2877</t>
  </si>
  <si>
    <t>(804) 255-0399</t>
  </si>
  <si>
    <t>3RD SUN 9:30-10:45AM</t>
  </si>
  <si>
    <t>RICO</t>
  </si>
  <si>
    <t>3819 CRESTHILL ROAD</t>
  </si>
  <si>
    <t>(804) 383-4868</t>
  </si>
  <si>
    <t>(804) 317-0965</t>
  </si>
  <si>
    <t>SUN 8:00-9:15AM HU2D, E</t>
  </si>
  <si>
    <t>PETERSON</t>
  </si>
  <si>
    <t>LAWANA "RENE"</t>
  </si>
  <si>
    <t>1510 DELAWARE AVENUE</t>
  </si>
  <si>
    <t>(804) 737-3577</t>
  </si>
  <si>
    <t>(804) 892-9343</t>
  </si>
  <si>
    <t>PIERCE, JR.</t>
  </si>
  <si>
    <t>JUAN</t>
  </si>
  <si>
    <t>HIV/HEP C TESTING COUNSELOR</t>
  </si>
  <si>
    <t>8843 PROCTORS RUNDRIVE</t>
  </si>
  <si>
    <t>(804) 677-2562</t>
  </si>
  <si>
    <t>4/16/1988</t>
  </si>
  <si>
    <t>4/19/2018</t>
  </si>
  <si>
    <t>231-49-6732</t>
  </si>
  <si>
    <t>PIERCE, SR.</t>
  </si>
  <si>
    <t>HIV/ HEP C Prevention Education Awareness</t>
  </si>
  <si>
    <t>1416 NORTH 24TH STREET</t>
  </si>
  <si>
    <t>(804) 641-1555</t>
  </si>
  <si>
    <t>5/16/1962</t>
  </si>
  <si>
    <t>4/3/2011</t>
  </si>
  <si>
    <t>227-96-7498</t>
  </si>
  <si>
    <t>HIV Facilitator</t>
  </si>
  <si>
    <t>POWELL</t>
  </si>
  <si>
    <t>KAREN</t>
  </si>
  <si>
    <t>REENTRY SUPPORT GROUP</t>
  </si>
  <si>
    <t>10425 MELISSA MILL ROAD</t>
  </si>
  <si>
    <t>(804) 380-4050</t>
  </si>
  <si>
    <t>3/19/1960</t>
  </si>
  <si>
    <t>5/9/2019</t>
  </si>
  <si>
    <t>drkarpow2018@gmail.com</t>
  </si>
  <si>
    <t>240-23-9077</t>
  </si>
  <si>
    <t>Thurs 9:00am-3:00pm</t>
  </si>
  <si>
    <t>PUGH</t>
  </si>
  <si>
    <t>CASAUNDRA</t>
  </si>
  <si>
    <t>MINISTRY/ BIBLESTUDY/ SPIRTUAL COUNSELING</t>
  </si>
  <si>
    <t>6020 ALMOND CREEK NORTH LANE</t>
  </si>
  <si>
    <t>(336) 803-9035</t>
  </si>
  <si>
    <t>5/26/1967</t>
  </si>
  <si>
    <t>2/28/2020</t>
  </si>
  <si>
    <t>Certificate of Ordiniation</t>
  </si>
  <si>
    <t>casaundra12@gmail.com</t>
  </si>
  <si>
    <t>135-64-1671</t>
  </si>
  <si>
    <t>RAMIREZ JR.</t>
  </si>
  <si>
    <t>RAYMOND</t>
  </si>
  <si>
    <t>103 PRINCETON ROAD</t>
  </si>
  <si>
    <t>(804) 216-1392</t>
  </si>
  <si>
    <t>RAMSEY</t>
  </si>
  <si>
    <t>ROBERT</t>
  </si>
  <si>
    <t>5831 SARA KAY DRIVE</t>
  </si>
  <si>
    <t>(804) 218-6757</t>
  </si>
  <si>
    <t>5/26/1957</t>
  </si>
  <si>
    <t>10/8/2015</t>
  </si>
  <si>
    <t>379-50-6656</t>
  </si>
  <si>
    <t>THU HU3C, D, E</t>
  </si>
  <si>
    <t>REED</t>
  </si>
  <si>
    <t>EDDIE</t>
  </si>
  <si>
    <t>1600 ATLANTIC STREET</t>
  </si>
  <si>
    <t>(804) 458-6765</t>
  </si>
  <si>
    <t>(804) 452-0920</t>
  </si>
  <si>
    <t>6/4/1956</t>
  </si>
  <si>
    <t>9/30/2016</t>
  </si>
  <si>
    <t>eddiereed1997@gmail.com</t>
  </si>
  <si>
    <t>247-21-3016</t>
  </si>
  <si>
    <t>commitment agreement; ordination or license</t>
  </si>
  <si>
    <t>acoustic guitar</t>
  </si>
  <si>
    <t>ROBERTSON</t>
  </si>
  <si>
    <t>TONETTE</t>
  </si>
  <si>
    <t>4400 JEFFERSON POINTE LANE APT # 12</t>
  </si>
  <si>
    <t>(434) 213-0476</t>
  </si>
  <si>
    <t>3/7/1991</t>
  </si>
  <si>
    <t>11/6/2023</t>
  </si>
  <si>
    <t>trobertson@d19csb.com</t>
  </si>
  <si>
    <t>226-61-1405</t>
  </si>
  <si>
    <t>2ND SUN 2:00-3:45PM HU1B; 5TH SUN 2:00-3:45PM HU1B</t>
  </si>
  <si>
    <t>IOLA</t>
  </si>
  <si>
    <t>1715 4TH AVENUE</t>
  </si>
  <si>
    <t>(804) 852-4330</t>
  </si>
  <si>
    <t>1/14/1965</t>
  </si>
  <si>
    <t>Colonial Heights Baptist</t>
  </si>
  <si>
    <t>andlearnon3@yahoo.com</t>
  </si>
  <si>
    <t>226-15-2824</t>
  </si>
  <si>
    <t>SUN ALTERNATE</t>
  </si>
  <si>
    <t>ROBINSON</t>
  </si>
  <si>
    <t>6409 BLAIR COURT</t>
  </si>
  <si>
    <t>(248) 798-1229</t>
  </si>
  <si>
    <t>5/23/1948</t>
  </si>
  <si>
    <t>7/31/2009</t>
  </si>
  <si>
    <t>elr2004@verizon.net</t>
  </si>
  <si>
    <t>431-86-3593</t>
  </si>
  <si>
    <t>4th Sat 9:30am-10:30am</t>
  </si>
  <si>
    <t>SAWYER</t>
  </si>
  <si>
    <t>PAMELA</t>
  </si>
  <si>
    <t>HIV/  Prevention Education Awareness</t>
  </si>
  <si>
    <t>1400 BRANDERSBRIDGE APT # C7</t>
  </si>
  <si>
    <t>(804) 397-3429</t>
  </si>
  <si>
    <t>6/8/1956</t>
  </si>
  <si>
    <t>12/9/2009</t>
  </si>
  <si>
    <t>Victory Christian United Church of Christ</t>
  </si>
  <si>
    <t>165-48-1153</t>
  </si>
  <si>
    <t>32 WYTHE STREET PETERSBURG,VA</t>
  </si>
  <si>
    <t>ROSE WRIGHT-SCOTT</t>
  </si>
  <si>
    <t>HU2D, E</t>
  </si>
  <si>
    <t>SERVAIS</t>
  </si>
  <si>
    <t>MICHAEL</t>
  </si>
  <si>
    <t>10409 MELISSA MILL ROAD</t>
  </si>
  <si>
    <t>(804) 727-9388</t>
  </si>
  <si>
    <t>ANYTIME</t>
  </si>
  <si>
    <t>SIMPSON</t>
  </si>
  <si>
    <t>LAWANA</t>
  </si>
  <si>
    <t>1811 ROSEWOOD AVENUE</t>
  </si>
  <si>
    <t>(804) 359-8117</t>
  </si>
  <si>
    <t>(804) 405-7709</t>
  </si>
  <si>
    <t>2nd &amp; 4th Tues 7:30pm-9:30pm</t>
  </si>
  <si>
    <t>SINCLAIR</t>
  </si>
  <si>
    <t>JANELL</t>
  </si>
  <si>
    <t>HEBRON PROGRAM</t>
  </si>
  <si>
    <t>1644 SOUTH SYCAMORE STREET</t>
  </si>
  <si>
    <t>(904) 401-1330</t>
  </si>
  <si>
    <t>6/30/1969</t>
  </si>
  <si>
    <t>10/5/2016</t>
  </si>
  <si>
    <t>223-27-4939</t>
  </si>
  <si>
    <t>Thu 2:30-4:30pm HU3A/B/ Mon 2:00-4:00pm</t>
  </si>
  <si>
    <t>SKAAR</t>
  </si>
  <si>
    <t>STEVEN</t>
  </si>
  <si>
    <t>MINISTRTY-COUNSELOR/ADMIISTRATIVE ASSISTANT</t>
  </si>
  <si>
    <t>6324 EAGLE CREST LANE</t>
  </si>
  <si>
    <t>(540) 577-0991</t>
  </si>
  <si>
    <t>6/15/1953</t>
  </si>
  <si>
    <t>12/31/2016</t>
  </si>
  <si>
    <t>West End Presbyterian</t>
  </si>
  <si>
    <t>151-44-3377</t>
  </si>
  <si>
    <t>Hopewell</t>
  </si>
  <si>
    <t>Eddie Reed</t>
  </si>
  <si>
    <t>Presbyterian</t>
  </si>
  <si>
    <t>Monday 10:00am-2:00pm</t>
  </si>
  <si>
    <t>SMITH</t>
  </si>
  <si>
    <t>CHARLES "BO"</t>
  </si>
  <si>
    <t>MINISTRY-SUNDAY SERVICE/ADMINISTRATIVE ASSISTANT</t>
  </si>
  <si>
    <t>14410 BRANDING IRON ROAD</t>
  </si>
  <si>
    <t>(804) 739-2009</t>
  </si>
  <si>
    <t>3/6/1958</t>
  </si>
  <si>
    <t>11/16/2017</t>
  </si>
  <si>
    <t>cdar@hotmail.com</t>
  </si>
  <si>
    <t>231-84-5934</t>
  </si>
  <si>
    <t>4TH SUN 2:00-3:45PM HU1B</t>
  </si>
  <si>
    <t>DORETHEA</t>
  </si>
  <si>
    <t>7540 BROOKSHIRE DRIVE</t>
  </si>
  <si>
    <t>(804) 861-2597</t>
  </si>
  <si>
    <t>(804) 731-7630</t>
  </si>
  <si>
    <t>1/4/1946</t>
  </si>
  <si>
    <t>5/1/2018</t>
  </si>
  <si>
    <t>Faith &amp; Hope Temple COGIC Pentacostal</t>
  </si>
  <si>
    <t>smithd01@aol.com</t>
  </si>
  <si>
    <t>223-60-1423</t>
  </si>
  <si>
    <t>Dr. Herman Crockett</t>
  </si>
  <si>
    <t>(804) 861-3898</t>
  </si>
  <si>
    <t>Pentacostal</t>
  </si>
  <si>
    <t>Wed 7:30pm-8:30pm or 2nd &amp; 4th Sun 7:30pm-8:30pm</t>
  </si>
  <si>
    <t>SOMERS</t>
  </si>
  <si>
    <t>HOWARD</t>
  </si>
  <si>
    <t>8 EASTOVER AVENUE</t>
  </si>
  <si>
    <t>(804) 590-4448</t>
  </si>
  <si>
    <t>6/16/1959</t>
  </si>
  <si>
    <t>7/20/2016</t>
  </si>
  <si>
    <t>153-52-7965</t>
  </si>
  <si>
    <t>Tue &amp; Sat  9:00-11:00amHU2D, E</t>
  </si>
  <si>
    <t>SQUIRE</t>
  </si>
  <si>
    <t>ELLIS</t>
  </si>
  <si>
    <t>7650 HUNTERS RIDGE DRIVE</t>
  </si>
  <si>
    <t>(804) 712-4000</t>
  </si>
  <si>
    <t>faithwok@yahoo.com</t>
  </si>
  <si>
    <t>Tuesday &amp; Saturday 0900-1400 hours</t>
  </si>
  <si>
    <t>SWICEGOOD</t>
  </si>
  <si>
    <t>BEN</t>
  </si>
  <si>
    <t>MINISTRY-</t>
  </si>
  <si>
    <t>13800 TURTLE HILL ROAD</t>
  </si>
  <si>
    <t>(804) 878-8844</t>
  </si>
  <si>
    <t>TAYLOR</t>
  </si>
  <si>
    <t>STANLEY</t>
  </si>
  <si>
    <t>3505 CHAMBERLAYNE AVENUE</t>
  </si>
  <si>
    <t>(804) 647-1540</t>
  </si>
  <si>
    <t>9/5/1947</t>
  </si>
  <si>
    <t>8/19/2015</t>
  </si>
  <si>
    <t>stanley@mhcprevents.org</t>
  </si>
  <si>
    <t>225-60-4316</t>
  </si>
  <si>
    <t>HIV Testing Counselor</t>
  </si>
  <si>
    <t>2nd Sat 8:00am-9:00am</t>
  </si>
  <si>
    <t>LOUCINDA</t>
  </si>
  <si>
    <t>13304 SHERRI DRIVE</t>
  </si>
  <si>
    <t>(804) 777-9676</t>
  </si>
  <si>
    <t>3/19/1961</t>
  </si>
  <si>
    <t>3/30/2016</t>
  </si>
  <si>
    <t>538-76-1238</t>
  </si>
  <si>
    <t>2nd or 3rd or 4th  Tue 8:30am-4:30pm</t>
  </si>
  <si>
    <t>GERTRUDE</t>
  </si>
  <si>
    <t>COLLEGE BOUND APPLICATION</t>
  </si>
  <si>
    <t>4315 RUFFIN ROAD</t>
  </si>
  <si>
    <t>(804) 218-2714</t>
  </si>
  <si>
    <t>3/24/1957</t>
  </si>
  <si>
    <t>1/15/2015</t>
  </si>
  <si>
    <t>228-98-1148</t>
  </si>
  <si>
    <t>1st &amp; 2nd or 3rd &amp; 4th Thursday 9:00am-10:30am</t>
  </si>
  <si>
    <t>AUDREY</t>
  </si>
  <si>
    <t>REENTRY PROGRAMS</t>
  </si>
  <si>
    <t>2056 ROCKY FORD ROAD</t>
  </si>
  <si>
    <t>CREWE</t>
  </si>
  <si>
    <t>(434) 294-7424</t>
  </si>
  <si>
    <t>2/4/1952</t>
  </si>
  <si>
    <t>5/21/2019</t>
  </si>
  <si>
    <t>ataylor@capup.org</t>
  </si>
  <si>
    <t>228-76-1128</t>
  </si>
  <si>
    <t>SHIRLEY</t>
  </si>
  <si>
    <t>MINISTRY-SUNDAY SERVICE ALTERNATE</t>
  </si>
  <si>
    <t>528 OAK HILL ROAD</t>
  </si>
  <si>
    <t>(804) 318-0086</t>
  </si>
  <si>
    <t>8/18/1949</t>
  </si>
  <si>
    <t>4/23/2017</t>
  </si>
  <si>
    <t>First Baptist</t>
  </si>
  <si>
    <t>catdog4u2@aol.com</t>
  </si>
  <si>
    <t>227-72-6197</t>
  </si>
  <si>
    <t>Petersburg</t>
  </si>
  <si>
    <t>Dr. Jeremiah Tillman</t>
  </si>
  <si>
    <t>(804) 732-2841</t>
  </si>
  <si>
    <t>4TH SUN 8:00-9:15AM HU3A, C, D; 9:30-10:45AM HU3B, E, 1CC, MH MALES</t>
  </si>
  <si>
    <t>RANDY</t>
  </si>
  <si>
    <t>540 ROSYLN AVENUE</t>
  </si>
  <si>
    <t>(804) 943-2297</t>
  </si>
  <si>
    <t>3/27/1961</t>
  </si>
  <si>
    <t>Second Chance Baptist</t>
  </si>
  <si>
    <t>silverfox540@comcast.net</t>
  </si>
  <si>
    <t>225-98-3382</t>
  </si>
  <si>
    <t>Davis Prather</t>
  </si>
  <si>
    <t>(804) 720-3421</t>
  </si>
  <si>
    <t>THOMPSON</t>
  </si>
  <si>
    <t>CONSTANCE</t>
  </si>
  <si>
    <t>14214 THRUSHWOOD COURT</t>
  </si>
  <si>
    <t>(804) 398-0176</t>
  </si>
  <si>
    <t>DREMA</t>
  </si>
  <si>
    <t>1413 BANTRY TERRACE</t>
  </si>
  <si>
    <t>(804) 253-7507</t>
  </si>
  <si>
    <t>KARL</t>
  </si>
  <si>
    <t>(804) 564-0525</t>
  </si>
  <si>
    <t>Wed 7:30pm-8;30pm</t>
  </si>
  <si>
    <t>TOWNES Jr.</t>
  </si>
  <si>
    <t>HERBERT</t>
  </si>
  <si>
    <t>1208 SUNNYSIDE AVE</t>
  </si>
  <si>
    <t>(804) 668-8471</t>
  </si>
  <si>
    <t>5/17/1957</t>
  </si>
  <si>
    <t>12/16/2014</t>
  </si>
  <si>
    <t>herbertf1957@gmail.com</t>
  </si>
  <si>
    <t>228-92-9240</t>
  </si>
  <si>
    <t>4th Thurs 2:00pm--4:00pm</t>
  </si>
  <si>
    <t>TYLER</t>
  </si>
  <si>
    <t>ROBIN</t>
  </si>
  <si>
    <t>CENTRAL VIRGINIA HEALTH SERVICES SEMINAR</t>
  </si>
  <si>
    <t>109 LAKEVIEW PARK ROAD</t>
  </si>
  <si>
    <t>(804) 895-3052</t>
  </si>
  <si>
    <t>(804) 704-3044</t>
  </si>
  <si>
    <t>8/28/1971</t>
  </si>
  <si>
    <t>6/13/2017</t>
  </si>
  <si>
    <t>231-37-8015</t>
  </si>
  <si>
    <t>1ST SUN 8:00-9:15AM HU3A/C/D; 9:30-10:45AM HU3B/E/1CC/MH Men; 11:15am Juveniles</t>
  </si>
  <si>
    <t>WARD</t>
  </si>
  <si>
    <t>JESSE</t>
  </si>
  <si>
    <t>1633 TREE RIDGE ROAD</t>
  </si>
  <si>
    <t>(804) 929-0590</t>
  </si>
  <si>
    <t>5/23/1957</t>
  </si>
  <si>
    <t>11/3/2003</t>
  </si>
  <si>
    <t>jwardprov35@yahoo.com</t>
  </si>
  <si>
    <t>225-84-2885</t>
  </si>
  <si>
    <t>1st &amp; 3rd Wed 7:30pm-8:30pm</t>
  </si>
  <si>
    <t>WATERS</t>
  </si>
  <si>
    <t>ROGER</t>
  </si>
  <si>
    <t>4901 CREEK ROAD</t>
  </si>
  <si>
    <t>(804) 895-1609</t>
  </si>
  <si>
    <t>5/23/1953</t>
  </si>
  <si>
    <t>11/9/2016</t>
  </si>
  <si>
    <t>216-58-0449</t>
  </si>
  <si>
    <t>WEBBER</t>
  </si>
  <si>
    <t>TOSHAWN</t>
  </si>
  <si>
    <t>1723 ROGERS STREET</t>
  </si>
  <si>
    <t>(804) 304-3067</t>
  </si>
  <si>
    <t>11/24/1971</t>
  </si>
  <si>
    <t>3/29/2023</t>
  </si>
  <si>
    <t>shwanwebber71@yahoo.com</t>
  </si>
  <si>
    <t>231-08-5234</t>
  </si>
  <si>
    <t>1ST SUN ALTERNATE</t>
  </si>
  <si>
    <t>WHISONANT</t>
  </si>
  <si>
    <t>WARLISHA</t>
  </si>
  <si>
    <t>10 EAST 36TH STREET</t>
  </si>
  <si>
    <t>(804) 283-2182</t>
  </si>
  <si>
    <t>Wed or Fri 8:30-11:00am HU1C FEMALES</t>
  </si>
  <si>
    <t>WHITE</t>
  </si>
  <si>
    <t>CATHY</t>
  </si>
  <si>
    <t>7700 MIDDLEFIELD MEWS</t>
  </si>
  <si>
    <t>3/15/1957</t>
  </si>
  <si>
    <t>9/15/2014</t>
  </si>
  <si>
    <t>honey2within@gmail.com</t>
  </si>
  <si>
    <t>229-84-9487</t>
  </si>
  <si>
    <t>Daniel Robertson</t>
  </si>
  <si>
    <t>Full Gospel</t>
  </si>
  <si>
    <t>TUE 9:00-11:00am HU2D, E</t>
  </si>
  <si>
    <t>WHITEHEAD JR.</t>
  </si>
  <si>
    <t>LANGSTON</t>
  </si>
  <si>
    <t>2241 NEW MARKET ROAD</t>
  </si>
  <si>
    <t>(804) 795-5636</t>
  </si>
  <si>
    <t>(804) 318-0057</t>
  </si>
  <si>
    <t>whitehead4you@comcast.net</t>
  </si>
  <si>
    <t>Wednesday 9:00-11:00am</t>
  </si>
  <si>
    <t>3RD SUN 2:00-3:45PM</t>
  </si>
  <si>
    <t>WILLIAMS III</t>
  </si>
  <si>
    <t>ROBERT L.</t>
  </si>
  <si>
    <t>401 NORTH WILKINSON ROAD</t>
  </si>
  <si>
    <t>(858) 776-5143</t>
  </si>
  <si>
    <t>6/4/1973</t>
  </si>
  <si>
    <t>1/7/2014</t>
  </si>
  <si>
    <t>lawnrlw@aol.com</t>
  </si>
  <si>
    <t>265-87-5480</t>
  </si>
  <si>
    <t>ZAHRINGER</t>
  </si>
  <si>
    <t>VETERANS JUSTICE OUTREACH SPECIALIST</t>
  </si>
  <si>
    <t>2104 AUTUMN OAKS LANE</t>
  </si>
  <si>
    <t>POWHATAN</t>
  </si>
  <si>
    <t>(804) 895-1507</t>
  </si>
  <si>
    <t>11/3/1964</t>
  </si>
  <si>
    <t>10/12/2021</t>
  </si>
  <si>
    <t>(804) 605- 2832</t>
  </si>
  <si>
    <t>JJZAHRINGER@GMAIL.COM</t>
  </si>
  <si>
    <t>220-90-4802</t>
  </si>
  <si>
    <t>2nd Friday 8:30am-4:30pm</t>
  </si>
  <si>
    <t>ZARIF</t>
  </si>
  <si>
    <t>HASAN</t>
  </si>
  <si>
    <t>RE-ENTRY SERVICES GROUP</t>
  </si>
  <si>
    <t>6624 BATTLEWOOD ROAD</t>
  </si>
  <si>
    <t>(804) 662-0270</t>
  </si>
  <si>
    <t>1/22/1952</t>
  </si>
  <si>
    <t>7/26/2011</t>
  </si>
  <si>
    <t>EPHESUS SEVENTH DAY ADVENTIST CHURCH RICHMOND,VA</t>
  </si>
  <si>
    <t>(804) 358- 7660</t>
  </si>
  <si>
    <t>hkzarif@comcast.net</t>
  </si>
  <si>
    <t>225-74-3451</t>
  </si>
  <si>
    <t>2317 WESTWOOD AVENUE</t>
  </si>
  <si>
    <t>CECIL MCFARLAND</t>
  </si>
  <si>
    <t>804-643-4000</t>
  </si>
  <si>
    <t>Experience training</t>
  </si>
  <si>
    <t>termination_date</t>
  </si>
  <si>
    <t>Termination_reason</t>
  </si>
  <si>
    <t>is_volunteer</t>
  </si>
  <si>
    <t>JEHOVAHS WITNESS</t>
  </si>
  <si>
    <t>Jehovahs Witnesses</t>
  </si>
  <si>
    <t>HIV-HEP C TESTING COUNSELOR</t>
  </si>
  <si>
    <t>Re-Entry-Church Service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</si>
</sst>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m\-yy"/>
  </numFmts>
  <fonts count="9" x14ac:knownFonts="1">
    <font>
      <sz val="11"/>
      <color theme="1"/>
      <name val="Calibri"/>
      <family val="2"/>
      <scheme val="minor"/>
    </font>
    <font>
      <sz val="10"/>
      <color rgb="FF0000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11">
    <xf numFmtId="0" fontId="0" fillId="0" borderId="0" xfId="0"/>
    <xf numFmtId="0" fontId="2" fillId="2" borderId="1" xfId="0" applyFont="1" applyFill="1" applyBorder="1" applyAlignment="1" applyProtection="1">
      <alignment horizontal="center" vertical="center"/>
    </xf>
    <xf numFmtId="0" fontId="3" fillId="3" borderId="2" xfId="0" applyFont="1" applyFill="1" applyBorder="1" applyAlignment="1" applyProtection="1">
      <alignment horizontal="right" vertical="center" wrapText="1"/>
    </xf>
    <xf numFmtId="0" fontId="4" fillId="4" borderId="3" xfId="0" applyFont="1" applyFill="1" applyBorder="1" applyAlignment="1" applyProtection="1">
      <alignment vertical="center" wrapText="1"/>
    </xf>
    <xf numFmtId="0" fontId="5" fillId="5" borderId="4" xfId="0" applyFont="1" applyFill="1" applyBorder="1" applyAlignment="1" applyProtection="1">
      <alignment horizontal="right" vertical="center" wrapText="1"/>
    </xf>
    <xf numFmtId="14" fontId="6" fillId="6" borderId="5" xfId="0" applyNumberFormat="1" applyFont="1" applyFill="1" applyBorder="1" applyAlignment="1" applyProtection="1">
      <alignment horizontal="right" vertical="center" wrapText="1"/>
    </xf>
    <xf numFmtId="164" fontId="7" fillId="7" borderId="6" xfId="0" applyNumberFormat="1" applyFont="1" applyFill="1" applyBorder="1" applyAlignment="1" applyProtection="1">
      <alignment horizontal="right" vertical="center" wrapText="1"/>
    </xf>
    <xf numFmtId="0" fontId="8" fillId="8" borderId="7" xfId="0" applyFont="1" applyFill="1" applyBorder="1" applyAlignment="1" applyProtection="1">
      <alignment horizontal="right" vertical="center" wrapText="1"/>
    </xf>
    <xf numFmtId="0" fontId="2" fillId="2" borderId="0" xfId="0" applyFont="1" applyFill="1" applyBorder="1" applyAlignment="1" applyProtection="1">
      <alignment horizontal="center" vertical="center"/>
    </xf>
    <xf numFmtId="0" fontId="4" fillId="4" borderId="0" xfId="0" applyFont="1" applyFill="1" applyBorder="1" applyAlignment="1" applyProtection="1">
      <alignment vertical="center" wrapText="1"/>
    </xf>
    <xf numFmtId="0" fontId="1" fillId="4" borderId="3" xfId="0" applyFont="1" applyFill="1" applyBorder="1" applyAlignment="1" applyProtection="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145"/>
  <sheetViews>
    <sheetView tabSelected="1" topLeftCell="AO1" workbookViewId="0">
      <selection activeCell="AX2" sqref="AX2"/>
    </sheetView>
  </sheetViews>
  <sheetFormatPr defaultRowHeight="15" x14ac:dyDescent="0.25"/>
  <cols>
    <col min="1" max="1" width="12.42578125" bestFit="1" customWidth="1"/>
    <col min="2" max="2" width="16.28515625" bestFit="1" customWidth="1"/>
    <col min="3" max="3" width="14.5703125" bestFit="1" customWidth="1"/>
    <col min="4" max="4" width="44.5703125" bestFit="1" customWidth="1"/>
    <col min="5" max="5" width="29.140625" customWidth="1"/>
    <col min="6" max="6" width="22.140625" bestFit="1" customWidth="1"/>
    <col min="7" max="7" width="7.42578125" customWidth="1"/>
    <col min="8" max="8" width="8" customWidth="1"/>
    <col min="9" max="9" width="14" customWidth="1"/>
    <col min="10" max="10" width="13.42578125" bestFit="1" customWidth="1"/>
    <col min="11" max="11" width="10.140625" bestFit="1" customWidth="1"/>
    <col min="12" max="12" width="10.5703125" bestFit="1" customWidth="1"/>
    <col min="13" max="13" width="35.140625" customWidth="1"/>
    <col min="14" max="14" width="9.85546875" bestFit="1" customWidth="1"/>
    <col min="15" max="15" width="36.140625" bestFit="1" customWidth="1"/>
    <col min="16" max="16" width="14" customWidth="1"/>
    <col min="17" max="17" width="20.140625" customWidth="1"/>
    <col min="18" max="18" width="12.5703125" bestFit="1" customWidth="1"/>
    <col min="19" max="22" width="14" customWidth="1"/>
    <col min="23" max="23" width="30.7109375" customWidth="1"/>
    <col min="24" max="24" width="32.28515625" customWidth="1"/>
    <col min="25" max="25" width="14.5703125" bestFit="1" customWidth="1"/>
    <col min="26" max="26" width="14" customWidth="1"/>
    <col min="27" max="27" width="15.7109375" customWidth="1"/>
    <col min="28" max="28" width="15.140625" customWidth="1"/>
    <col min="29" max="29" width="20.5703125" bestFit="1" customWidth="1"/>
    <col min="30" max="30" width="18.28515625" bestFit="1" customWidth="1"/>
    <col min="31" max="31" width="14.85546875" bestFit="1" customWidth="1"/>
    <col min="32" max="32" width="25.5703125" bestFit="1" customWidth="1"/>
    <col min="33" max="33" width="14.42578125" bestFit="1" customWidth="1"/>
    <col min="34" max="34" width="13.28515625" bestFit="1" customWidth="1"/>
    <col min="35" max="35" width="14.28515625" bestFit="1" customWidth="1"/>
    <col min="36" max="36" width="23.7109375" bestFit="1" customWidth="1"/>
    <col min="37" max="37" width="17" bestFit="1" customWidth="1"/>
    <col min="38" max="38" width="17.42578125" bestFit="1" customWidth="1"/>
    <col min="39" max="39" width="11.42578125" bestFit="1" customWidth="1"/>
    <col min="40" max="40" width="29" bestFit="1" customWidth="1"/>
    <col min="41" max="41" width="19" bestFit="1" customWidth="1"/>
    <col min="42" max="42" width="21.140625" bestFit="1" customWidth="1"/>
    <col min="43" max="43" width="8.28515625" bestFit="1" customWidth="1"/>
    <col min="44" max="44" width="10.42578125" bestFit="1" customWidth="1"/>
    <col min="45" max="45" width="13.85546875" bestFit="1" customWidth="1"/>
    <col min="46" max="49" width="22.5703125" customWidth="1"/>
    <col min="50" max="50" width="77.140625" bestFit="1" customWidth="1"/>
  </cols>
  <sheetData>
    <row r="1" spans="1:50" x14ac:dyDescent="0.25">
      <c r="A1" s="1" t="s">
        <v>0</v>
      </c>
      <c r="B1" s="1" t="s">
        <v>2</v>
      </c>
      <c r="C1" s="1" t="s">
        <v>3</v>
      </c>
      <c r="D1" s="1" t="s">
        <v>4</v>
      </c>
      <c r="E1" s="1" t="s">
        <v>5</v>
      </c>
      <c r="F1" s="1" t="s">
        <v>6</v>
      </c>
      <c r="G1" s="1" t="s">
        <v>7</v>
      </c>
      <c r="H1" s="1" t="s">
        <v>8</v>
      </c>
      <c r="I1" s="1" t="s">
        <v>9</v>
      </c>
      <c r="J1" s="1" t="s">
        <v>10</v>
      </c>
      <c r="K1" s="1" t="s">
        <v>11</v>
      </c>
      <c r="L1" s="1" t="s">
        <v>12</v>
      </c>
      <c r="M1" s="1" t="s">
        <v>1</v>
      </c>
      <c r="N1" s="1" t="s">
        <v>13</v>
      </c>
      <c r="O1" s="1" t="s">
        <v>14</v>
      </c>
      <c r="P1" s="1" t="s">
        <v>15</v>
      </c>
      <c r="Q1" s="1" t="s">
        <v>1316</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77</v>
      </c>
      <c r="AS1" s="1" t="s">
        <v>42</v>
      </c>
      <c r="AT1" s="1" t="s">
        <v>43</v>
      </c>
      <c r="AU1" s="8" t="s">
        <v>1317</v>
      </c>
      <c r="AV1" s="8" t="s">
        <v>1318</v>
      </c>
      <c r="AW1" s="8" t="s">
        <v>1319</v>
      </c>
    </row>
    <row r="2" spans="1:50" ht="25.5" x14ac:dyDescent="0.25">
      <c r="A2" s="2">
        <v>962</v>
      </c>
      <c r="B2" s="3" t="s">
        <v>45</v>
      </c>
      <c r="C2" s="3" t="s">
        <v>46</v>
      </c>
      <c r="D2" s="3" t="s">
        <v>47</v>
      </c>
      <c r="E2" s="3" t="s">
        <v>48</v>
      </c>
      <c r="F2" s="3" t="s">
        <v>49</v>
      </c>
      <c r="G2" s="3" t="s">
        <v>50</v>
      </c>
      <c r="H2" s="4">
        <v>23237</v>
      </c>
      <c r="I2" s="3" t="s">
        <v>51</v>
      </c>
      <c r="J2" s="3" t="s">
        <v>52</v>
      </c>
      <c r="K2" s="5" t="s">
        <v>53</v>
      </c>
      <c r="L2" s="5" t="s">
        <v>54</v>
      </c>
      <c r="M2" s="3" t="s">
        <v>44</v>
      </c>
      <c r="N2" s="3" t="s">
        <v>52</v>
      </c>
      <c r="O2" s="3" t="s">
        <v>52</v>
      </c>
      <c r="P2" s="3" t="s">
        <v>52</v>
      </c>
      <c r="Q2" s="3" t="s">
        <v>55</v>
      </c>
      <c r="R2" s="3" t="s">
        <v>52</v>
      </c>
      <c r="S2" s="3" t="s">
        <v>52</v>
      </c>
      <c r="T2" s="3" t="s">
        <v>56</v>
      </c>
      <c r="U2" s="3" t="s">
        <v>57</v>
      </c>
      <c r="V2" s="3" t="s">
        <v>58</v>
      </c>
      <c r="W2" s="3" t="s">
        <v>52</v>
      </c>
      <c r="X2" s="3" t="s">
        <v>52</v>
      </c>
      <c r="Y2" s="3" t="s">
        <v>52</v>
      </c>
      <c r="Z2" s="3" t="s">
        <v>52</v>
      </c>
      <c r="AA2" s="3" t="s">
        <v>52</v>
      </c>
      <c r="AB2" s="3" t="s">
        <v>59</v>
      </c>
      <c r="AD2" s="7" t="b">
        <v>0</v>
      </c>
      <c r="AE2" s="7" t="b">
        <v>0</v>
      </c>
      <c r="AF2" s="7" t="b">
        <v>0</v>
      </c>
      <c r="AG2" s="3" t="s">
        <v>60</v>
      </c>
      <c r="AH2" s="3" t="s">
        <v>52</v>
      </c>
      <c r="AI2" s="3" t="s">
        <v>61</v>
      </c>
      <c r="AJ2" s="3" t="s">
        <v>52</v>
      </c>
      <c r="AK2" s="3" t="s">
        <v>52</v>
      </c>
      <c r="AL2" s="7" t="b">
        <v>0</v>
      </c>
      <c r="AM2" s="3" t="s">
        <v>62</v>
      </c>
      <c r="AO2" s="2">
        <v>195</v>
      </c>
      <c r="AQ2" s="3" t="s">
        <v>52</v>
      </c>
      <c r="AR2" s="3" t="s">
        <v>52</v>
      </c>
      <c r="AS2" s="3" t="s">
        <v>52</v>
      </c>
      <c r="AT2" s="3" t="s">
        <v>52</v>
      </c>
      <c r="AU2" s="9"/>
      <c r="AV2" s="9"/>
      <c r="AW2" s="9">
        <v>1</v>
      </c>
      <c r="AX2" t="str">
        <f>CONCATENATE("('", B2, "', '", C2, "', '", D2, "', '", E2, "', '", F2, "', '", G2, "', '", H2, "', '", I2, "', '", J2, "', '", K2, "', '", L2, "', '", M2, "', '", N2, "', '", O2, "', '", P2, "', '", Q2, "', '", R2, "', '", S2, "', '", T2, "', '", U2, "', '", V2, "', '", W2, "', '", X2, "', '", Y2, "', '", Z2, "', '", AA2, "', '", AB2, "', '", AC2, "', '", AD2, "', '", AE2, "', '", AF2, "', '", AG2, "', '", AH2, "', '", AI2, "', '", AJ2, "', '", AK2, "', '", AL2, "', '", AM2, "', '", AN2, "', '", AO2, "', '", AP2, "', '", AQ2, "', '", AR2, "', '", AS2, "', '", AT2,  "', '", AU2,  "', '", AV2, "', '", AW2,"'),")</f>
        <v>('ABDULMUMIT', 'JIHAD', 'SERENITY Male &amp; Female HIV Prevention', '9406 LOCKBERRY RIDGE LOOP', 'RICHMOND', 'VA', '23237', '(804) 304-8595', '', '8/30/1954', '10/17/2013', '3rd Mon 7:30pm-8:30pm', '', '', '', 'Certificate', '', '', 'Black', 'Female', '146-50-0091', '', '', '', '', '', 'SECULAR', '', 'FALSE', 'FALSE', 'FALSE', 'COVID INACTIVE', '', 'Serenity', '', '', 'FALSE', 'August', '', '195', '', '', '', '', '', '', '', '1'),</v>
      </c>
    </row>
    <row r="3" spans="1:50" ht="25.5" x14ac:dyDescent="0.25">
      <c r="A3" s="2">
        <v>1291</v>
      </c>
      <c r="B3" s="3" t="s">
        <v>64</v>
      </c>
      <c r="C3" s="3" t="s">
        <v>65</v>
      </c>
      <c r="D3" s="3" t="s">
        <v>66</v>
      </c>
      <c r="E3" s="3" t="s">
        <v>67</v>
      </c>
      <c r="F3" s="3" t="s">
        <v>68</v>
      </c>
      <c r="G3" s="3" t="s">
        <v>50</v>
      </c>
      <c r="H3" s="4">
        <v>23805</v>
      </c>
      <c r="I3" s="3" t="s">
        <v>69</v>
      </c>
      <c r="J3" s="3" t="s">
        <v>70</v>
      </c>
      <c r="K3" s="5" t="s">
        <v>71</v>
      </c>
      <c r="L3" s="5" t="s">
        <v>72</v>
      </c>
      <c r="M3" s="3" t="s">
        <v>63</v>
      </c>
      <c r="N3" s="3" t="s">
        <v>52</v>
      </c>
      <c r="O3" s="10" t="s">
        <v>1321</v>
      </c>
      <c r="P3" s="3" t="s">
        <v>52</v>
      </c>
      <c r="Q3" s="3" t="s">
        <v>73</v>
      </c>
      <c r="R3" s="3" t="s">
        <v>52</v>
      </c>
      <c r="S3" s="3" t="s">
        <v>74</v>
      </c>
      <c r="T3" s="3" t="s">
        <v>56</v>
      </c>
      <c r="U3" s="3" t="s">
        <v>57</v>
      </c>
      <c r="V3" s="3" t="s">
        <v>52</v>
      </c>
      <c r="W3" s="3" t="s">
        <v>52</v>
      </c>
      <c r="X3" s="3" t="s">
        <v>52</v>
      </c>
      <c r="Y3" s="3" t="s">
        <v>52</v>
      </c>
      <c r="Z3" s="3" t="s">
        <v>52</v>
      </c>
      <c r="AA3" s="3" t="s">
        <v>52</v>
      </c>
      <c r="AB3" s="3" t="s">
        <v>75</v>
      </c>
      <c r="AD3" s="7" t="b">
        <v>0</v>
      </c>
      <c r="AE3" s="7" t="b">
        <v>0</v>
      </c>
      <c r="AF3" s="7" t="b">
        <v>0</v>
      </c>
      <c r="AG3" s="3" t="s">
        <v>60</v>
      </c>
      <c r="AH3" s="3" t="s">
        <v>52</v>
      </c>
      <c r="AI3" s="10" t="s">
        <v>1320</v>
      </c>
      <c r="AJ3" s="3" t="s">
        <v>52</v>
      </c>
      <c r="AK3" s="3" t="s">
        <v>52</v>
      </c>
      <c r="AL3" s="7" t="b">
        <v>0</v>
      </c>
      <c r="AM3" s="3" t="s">
        <v>52</v>
      </c>
      <c r="AO3" s="2">
        <v>0</v>
      </c>
      <c r="AQ3" s="3" t="s">
        <v>76</v>
      </c>
      <c r="AR3" s="3" t="s">
        <v>77</v>
      </c>
      <c r="AS3" s="10" t="s">
        <v>1320</v>
      </c>
      <c r="AT3" s="3" t="s">
        <v>52</v>
      </c>
      <c r="AU3" s="9"/>
      <c r="AV3" s="9"/>
      <c r="AW3" s="9">
        <v>1</v>
      </c>
      <c r="AX3" t="str">
        <f t="shared" ref="AX3:AX66" si="0">CONCATENATE("('", B3, "', '", C3, "', '", D3, "', '", E3, "', '", F3, "', '", G3, "', '", H3, "', '", I3, "', '", J3, "', '", K3, "', '", L3, "', '", M3, "', '", N3, "', '", O3, "', '", P3, "', '", Q3, "', '", R3, "', '", S3, "', '", T3, "', '", U3, "', '", V3, "', '", W3, "', '", X3, "', '", Y3, "', '", Z3, "', '", AA3, "', '", AB3, "', '", AC3, "', '", AD3, "', '", AE3, "', '", AF3, "', '", AG3, "', '", AH3, "', '", AI3, "', '", AJ3, "', '", AK3, "', '", AL3, "', '", AM3, "', '", AN3, "', '", AO3, "', '", AP3, "', '", AQ3, "', '", AR3, "', '", AS3, "', '", AT3,  "', '", AU3,  "', '", AV3, "', '", AW3,"'),")</f>
        <v>('AINSWORTH', 'SHIRLENE', 'MINISTRY-BIBLE STUDY', '618 OAKWOOD CIRCLE', 'PETERSBURG', 'VA', '23805', '(804) 861-0643', '(804) 721-1240', '7/25/1945', '2/14/2005', 'Mon 9:30am-HU1 A/B &amp; Wed 1:00pm-2:30pm HU1CB; Sat 1:00-2:30pm HU6', '', 'Jehovahs Witnesses', '', 'Letter of Recommendation', '', 'n/a', 'Black', 'Female', '', '', '', '', '', '', 'MINISTRY', '', 'FALSE', 'FALSE', 'FALSE', 'COVID INACTIVE', '', 'JEHOVAHS WITNESS', '', '', 'FALSE', '', '', '0', '', 'Main Jail', 'HU6', 'JEHOVAHS WITNESS', '', '', '', '1'),</v>
      </c>
    </row>
    <row r="4" spans="1:50" ht="25.5" x14ac:dyDescent="0.25">
      <c r="A4" s="2">
        <v>1391</v>
      </c>
      <c r="B4" s="3" t="s">
        <v>79</v>
      </c>
      <c r="C4" s="3" t="s">
        <v>80</v>
      </c>
      <c r="D4" s="3" t="s">
        <v>81</v>
      </c>
      <c r="E4" s="3" t="s">
        <v>82</v>
      </c>
      <c r="F4" s="3" t="s">
        <v>49</v>
      </c>
      <c r="G4" s="3" t="s">
        <v>50</v>
      </c>
      <c r="H4" s="4">
        <v>23230</v>
      </c>
      <c r="I4" s="3" t="s">
        <v>83</v>
      </c>
      <c r="J4" s="3" t="s">
        <v>84</v>
      </c>
      <c r="K4" s="5" t="s">
        <v>85</v>
      </c>
      <c r="L4" s="5" t="s">
        <v>86</v>
      </c>
      <c r="M4" s="3" t="s">
        <v>78</v>
      </c>
      <c r="N4" s="3" t="s">
        <v>52</v>
      </c>
      <c r="O4" s="3" t="s">
        <v>52</v>
      </c>
      <c r="P4" s="3" t="s">
        <v>52</v>
      </c>
      <c r="Q4" s="3" t="s">
        <v>87</v>
      </c>
      <c r="R4" s="3" t="s">
        <v>52</v>
      </c>
      <c r="S4" s="3" t="s">
        <v>88</v>
      </c>
      <c r="T4" s="3" t="s">
        <v>56</v>
      </c>
      <c r="U4" s="3" t="s">
        <v>89</v>
      </c>
      <c r="V4" s="3" t="s">
        <v>90</v>
      </c>
      <c r="W4" s="3" t="s">
        <v>52</v>
      </c>
      <c r="X4" s="3" t="s">
        <v>52</v>
      </c>
      <c r="Y4" s="3" t="s">
        <v>52</v>
      </c>
      <c r="Z4" s="3" t="s">
        <v>52</v>
      </c>
      <c r="AA4" s="3" t="s">
        <v>52</v>
      </c>
      <c r="AB4" s="3" t="s">
        <v>59</v>
      </c>
      <c r="AD4" s="7" t="b">
        <v>0</v>
      </c>
      <c r="AE4" s="7" t="b">
        <v>0</v>
      </c>
      <c r="AF4" s="7" t="b">
        <v>0</v>
      </c>
      <c r="AG4" s="3" t="s">
        <v>91</v>
      </c>
      <c r="AH4" s="3" t="s">
        <v>52</v>
      </c>
      <c r="AI4" s="3" t="s">
        <v>52</v>
      </c>
      <c r="AJ4" s="3" t="s">
        <v>52</v>
      </c>
      <c r="AK4" s="3" t="s">
        <v>52</v>
      </c>
      <c r="AL4" s="7" t="b">
        <v>0</v>
      </c>
      <c r="AM4" s="3" t="s">
        <v>92</v>
      </c>
      <c r="AO4" s="2">
        <v>0</v>
      </c>
      <c r="AQ4" s="3" t="s">
        <v>76</v>
      </c>
      <c r="AR4" s="3" t="s">
        <v>52</v>
      </c>
      <c r="AS4" s="3" t="s">
        <v>52</v>
      </c>
      <c r="AT4" s="3" t="s">
        <v>52</v>
      </c>
      <c r="AU4" s="9"/>
      <c r="AV4" s="9"/>
      <c r="AW4" s="9">
        <v>1</v>
      </c>
      <c r="AX4" t="str">
        <f t="shared" si="0"/>
        <v>('ALFORD', 'LINWOOD', 'OPEN DOOR RESOURCE CENTER, INC', '4009 FITZHUGH AVENUE SUITE 203', 'RICHMOND', 'VA', '23230', '(804) 658-2784', '(804) 368-5327', '10/31/1964', '1/8/2024', 'Varies', '', '', '', 'Degree', '', 'lalford@odrcinc', 'Black', 'Male', '228-08-2805', '', '', '', '', '', 'SECULAR', '', 'FALSE', 'FALSE', 'FALSE', 'ACTIVE', '', '', '', '', 'FALSE', 'October', '', '0', '', 'Main Jail', '', '', '', '', '', '1'),</v>
      </c>
    </row>
    <row r="5" spans="1:50" ht="25.5" x14ac:dyDescent="0.25">
      <c r="A5" s="2">
        <v>888</v>
      </c>
      <c r="B5" s="3" t="s">
        <v>94</v>
      </c>
      <c r="C5" s="3" t="s">
        <v>95</v>
      </c>
      <c r="D5" s="3" t="s">
        <v>96</v>
      </c>
      <c r="E5" s="3" t="s">
        <v>97</v>
      </c>
      <c r="F5" s="3" t="s">
        <v>98</v>
      </c>
      <c r="G5" s="3" t="s">
        <v>50</v>
      </c>
      <c r="H5" s="4">
        <v>23805</v>
      </c>
      <c r="I5" s="3" t="s">
        <v>99</v>
      </c>
      <c r="J5" s="3" t="s">
        <v>52</v>
      </c>
      <c r="K5" s="5" t="s">
        <v>100</v>
      </c>
      <c r="L5" s="5" t="s">
        <v>101</v>
      </c>
      <c r="M5" s="3" t="s">
        <v>93</v>
      </c>
      <c r="N5" s="3" t="s">
        <v>52</v>
      </c>
      <c r="O5" s="3" t="s">
        <v>52</v>
      </c>
      <c r="P5" s="3" t="s">
        <v>52</v>
      </c>
      <c r="Q5" s="3" t="s">
        <v>102</v>
      </c>
      <c r="R5" s="3" t="s">
        <v>52</v>
      </c>
      <c r="S5" s="3" t="s">
        <v>52</v>
      </c>
      <c r="T5" s="3" t="s">
        <v>103</v>
      </c>
      <c r="U5" s="3" t="s">
        <v>57</v>
      </c>
      <c r="V5" s="3" t="s">
        <v>104</v>
      </c>
      <c r="W5" s="3" t="s">
        <v>52</v>
      </c>
      <c r="X5" s="3" t="s">
        <v>52</v>
      </c>
      <c r="Y5" s="3" t="s">
        <v>52</v>
      </c>
      <c r="Z5" s="3" t="s">
        <v>52</v>
      </c>
      <c r="AA5" s="3" t="s">
        <v>52</v>
      </c>
      <c r="AB5" s="3" t="s">
        <v>59</v>
      </c>
      <c r="AD5" s="7" t="b">
        <v>1</v>
      </c>
      <c r="AE5" s="7" t="b">
        <v>0</v>
      </c>
      <c r="AF5" s="7" t="b">
        <v>0</v>
      </c>
      <c r="AG5" s="3" t="s">
        <v>60</v>
      </c>
      <c r="AH5" s="3" t="s">
        <v>52</v>
      </c>
      <c r="AI5" s="3" t="s">
        <v>52</v>
      </c>
      <c r="AJ5" s="3" t="s">
        <v>52</v>
      </c>
      <c r="AK5" s="3" t="s">
        <v>52</v>
      </c>
      <c r="AL5" s="7" t="b">
        <v>0</v>
      </c>
      <c r="AM5" s="3" t="s">
        <v>92</v>
      </c>
      <c r="AO5" s="2">
        <v>0</v>
      </c>
      <c r="AP5" s="6">
        <v>41508</v>
      </c>
      <c r="AQ5" s="3" t="s">
        <v>76</v>
      </c>
      <c r="AR5" s="3" t="s">
        <v>77</v>
      </c>
      <c r="AS5" s="3" t="s">
        <v>52</v>
      </c>
      <c r="AT5" s="3" t="s">
        <v>52</v>
      </c>
      <c r="AU5" s="9"/>
      <c r="AV5" s="9"/>
      <c r="AW5" s="9">
        <v>1</v>
      </c>
      <c r="AX5" t="str">
        <f t="shared" si="0"/>
        <v>('ALLALA', 'LAURIE', 'NA MEETINGS', '10645 JOHNSON ROAD', 'SOUTH PRINCE GEORGE', 'VA', '23805', '(804) 586-6610', '', '10/7/1960', '6/6/2012', '1st or 3rd Wed 7:30pm-8:30pm', '', '', '', 'Life Experiences', '', '', 'White', 'Female', '159-46-2368', '', '', '', '', '', 'SECULAR', '', 'TRUE', 'FALSE', 'FALSE', 'COVID INACTIVE', '', '', '', '', 'FALSE', 'October', '', '0', '41508', 'Main Jail', 'HU6', '', '', '', '', '1'),</v>
      </c>
    </row>
    <row r="6" spans="1:50" ht="38.25" x14ac:dyDescent="0.25">
      <c r="A6" s="2">
        <v>1292</v>
      </c>
      <c r="B6" s="3" t="s">
        <v>105</v>
      </c>
      <c r="C6" s="3" t="s">
        <v>106</v>
      </c>
      <c r="D6" s="3" t="s">
        <v>107</v>
      </c>
      <c r="E6" s="3" t="s">
        <v>108</v>
      </c>
      <c r="F6" s="3" t="s">
        <v>109</v>
      </c>
      <c r="G6" s="3" t="s">
        <v>50</v>
      </c>
      <c r="H6" s="4">
        <v>23120</v>
      </c>
      <c r="I6" s="3" t="s">
        <v>110</v>
      </c>
      <c r="J6" s="3" t="s">
        <v>111</v>
      </c>
      <c r="K6" s="5" t="s">
        <v>112</v>
      </c>
      <c r="L6" s="5" t="s">
        <v>113</v>
      </c>
      <c r="M6" s="3" t="s">
        <v>78</v>
      </c>
      <c r="N6" s="3" t="s">
        <v>52</v>
      </c>
      <c r="O6" s="3" t="s">
        <v>114</v>
      </c>
      <c r="P6" s="3" t="s">
        <v>52</v>
      </c>
      <c r="Q6" s="3" t="s">
        <v>52</v>
      </c>
      <c r="R6" s="3" t="s">
        <v>52</v>
      </c>
      <c r="S6" s="3" t="s">
        <v>52</v>
      </c>
      <c r="T6" s="3" t="s">
        <v>103</v>
      </c>
      <c r="U6" s="3" t="s">
        <v>89</v>
      </c>
      <c r="V6" s="3" t="s">
        <v>115</v>
      </c>
      <c r="W6" s="3" t="s">
        <v>52</v>
      </c>
      <c r="X6" s="3" t="s">
        <v>52</v>
      </c>
      <c r="Y6" s="3" t="s">
        <v>52</v>
      </c>
      <c r="Z6" s="3" t="s">
        <v>52</v>
      </c>
      <c r="AA6" s="3" t="s">
        <v>52</v>
      </c>
      <c r="AB6" s="3" t="s">
        <v>75</v>
      </c>
      <c r="AD6" s="7" t="b">
        <v>0</v>
      </c>
      <c r="AE6" s="7" t="b">
        <v>0</v>
      </c>
      <c r="AF6" s="7" t="b">
        <v>0</v>
      </c>
      <c r="AG6" s="3" t="s">
        <v>60</v>
      </c>
      <c r="AH6" s="3" t="s">
        <v>52</v>
      </c>
      <c r="AI6" s="3" t="s">
        <v>116</v>
      </c>
      <c r="AJ6" s="3" t="s">
        <v>52</v>
      </c>
      <c r="AK6" s="3" t="s">
        <v>117</v>
      </c>
      <c r="AL6" s="7" t="b">
        <v>0</v>
      </c>
      <c r="AM6" s="3" t="s">
        <v>52</v>
      </c>
      <c r="AO6" s="2">
        <v>0</v>
      </c>
      <c r="AQ6" s="3" t="s">
        <v>52</v>
      </c>
      <c r="AR6" s="3" t="s">
        <v>52</v>
      </c>
      <c r="AS6" s="3" t="s">
        <v>118</v>
      </c>
      <c r="AT6" s="3" t="s">
        <v>52</v>
      </c>
      <c r="AU6" s="9"/>
      <c r="AV6" s="9"/>
      <c r="AW6" s="9">
        <v>1</v>
      </c>
      <c r="AX6" t="str">
        <f t="shared" si="0"/>
        <v>('BARTLAM', 'BRUCE', 'MINISTRY-COUNSELING', '5700 CLAYVILLE LANE', 'MOSELEY', 'VA', '23120', '(804) 739-2936', '(804) 931-4669', '5/9/1939', '10/2/2018', 'Varies', '', 'Bethel Baptist', '', '', '', '', 'White', 'Male', '227-46-0716', '', '', '', '', '', 'MINISTRY', '', 'FALSE', 'FALSE', 'FALSE', 'COVID INACTIVE', '', 'ON CALL CHAPLAIN', '', 'inactive until Dec Tuesday-Friday 0900-1400 hours', 'FALSE', '', '', '0', '', '', '', 'BAPTIST', '', '', '', '1'),</v>
      </c>
    </row>
    <row r="7" spans="1:50" ht="25.5" x14ac:dyDescent="0.25">
      <c r="A7" s="2">
        <v>1271</v>
      </c>
      <c r="B7" s="3" t="s">
        <v>120</v>
      </c>
      <c r="C7" s="3" t="s">
        <v>121</v>
      </c>
      <c r="D7" s="3" t="s">
        <v>122</v>
      </c>
      <c r="E7" s="3" t="s">
        <v>123</v>
      </c>
      <c r="F7" s="3" t="s">
        <v>124</v>
      </c>
      <c r="G7" s="3" t="s">
        <v>50</v>
      </c>
      <c r="H7" s="4">
        <v>23831</v>
      </c>
      <c r="I7" s="3" t="s">
        <v>125</v>
      </c>
      <c r="J7" s="3" t="s">
        <v>52</v>
      </c>
      <c r="K7" s="5" t="s">
        <v>126</v>
      </c>
      <c r="L7" s="5" t="s">
        <v>127</v>
      </c>
      <c r="M7" s="3" t="s">
        <v>119</v>
      </c>
      <c r="N7" s="3" t="s">
        <v>52</v>
      </c>
      <c r="O7" s="3" t="s">
        <v>52</v>
      </c>
      <c r="P7" s="3" t="s">
        <v>52</v>
      </c>
      <c r="Q7" s="3" t="s">
        <v>128</v>
      </c>
      <c r="R7" s="3" t="s">
        <v>52</v>
      </c>
      <c r="S7" s="3" t="s">
        <v>52</v>
      </c>
      <c r="T7" s="3" t="s">
        <v>56</v>
      </c>
      <c r="U7" s="3" t="s">
        <v>129</v>
      </c>
      <c r="V7" s="3" t="s">
        <v>130</v>
      </c>
      <c r="W7" s="3" t="s">
        <v>52</v>
      </c>
      <c r="X7" s="3" t="s">
        <v>52</v>
      </c>
      <c r="Y7" s="3" t="s">
        <v>52</v>
      </c>
      <c r="Z7" s="3" t="s">
        <v>52</v>
      </c>
      <c r="AA7" s="3" t="s">
        <v>52</v>
      </c>
      <c r="AB7" s="3" t="s">
        <v>59</v>
      </c>
      <c r="AD7" s="7" t="b">
        <v>1</v>
      </c>
      <c r="AE7" s="7" t="b">
        <v>1</v>
      </c>
      <c r="AF7" s="7" t="b">
        <v>0</v>
      </c>
      <c r="AG7" s="3" t="s">
        <v>60</v>
      </c>
      <c r="AH7" s="3" t="s">
        <v>52</v>
      </c>
      <c r="AI7" s="3" t="s">
        <v>52</v>
      </c>
      <c r="AJ7" s="3" t="s">
        <v>52</v>
      </c>
      <c r="AK7" s="3" t="s">
        <v>52</v>
      </c>
      <c r="AL7" s="7" t="b">
        <v>0</v>
      </c>
      <c r="AM7" s="3" t="s">
        <v>131</v>
      </c>
      <c r="AO7" s="2">
        <v>0</v>
      </c>
      <c r="AQ7" s="3" t="s">
        <v>52</v>
      </c>
      <c r="AR7" s="3" t="s">
        <v>52</v>
      </c>
      <c r="AS7" s="3" t="s">
        <v>52</v>
      </c>
      <c r="AT7" s="3" t="s">
        <v>52</v>
      </c>
      <c r="AU7" s="9"/>
      <c r="AV7" s="9"/>
      <c r="AW7" s="9">
        <v>1</v>
      </c>
      <c r="AX7" t="str">
        <f t="shared" si="0"/>
        <v>('BATES', 'ERIC', 'AA MEETINGS', '2719 EXECTIVE DRIVE', 'CHESTER', 'VA', '23831', '(804) 943-4651', '', '5/10/1969', '2/27/2019', 'Tues 7:30pm-8:30pm', '', '', '', 'lLife Experiences', '', '', 'Black', 'Males', '049-64-7670', '', '', '', '', '', 'SECULAR', '', 'TRUE', 'TRUE', 'FALSE', 'COVID INACTIVE', '', '', '', '', 'FALSE', 'May', '', '0', '', '', '', '', '', '', '', '1'),</v>
      </c>
    </row>
    <row r="8" spans="1:50" ht="25.5" x14ac:dyDescent="0.25">
      <c r="A8" s="2">
        <v>1111</v>
      </c>
      <c r="B8" s="3" t="s">
        <v>132</v>
      </c>
      <c r="C8" s="3" t="s">
        <v>133</v>
      </c>
      <c r="D8" s="3" t="s">
        <v>134</v>
      </c>
      <c r="E8" s="3" t="s">
        <v>135</v>
      </c>
      <c r="F8" s="3" t="s">
        <v>136</v>
      </c>
      <c r="G8" s="3" t="s">
        <v>50</v>
      </c>
      <c r="H8" s="4">
        <v>23235</v>
      </c>
      <c r="I8" s="3" t="s">
        <v>137</v>
      </c>
      <c r="J8" s="3" t="s">
        <v>137</v>
      </c>
      <c r="K8" s="5" t="s">
        <v>138</v>
      </c>
      <c r="L8" s="5" t="s">
        <v>139</v>
      </c>
      <c r="M8" s="3" t="s">
        <v>78</v>
      </c>
      <c r="N8" s="3" t="s">
        <v>52</v>
      </c>
      <c r="O8" s="3" t="s">
        <v>52</v>
      </c>
      <c r="P8" s="3" t="s">
        <v>52</v>
      </c>
      <c r="Q8" s="3" t="s">
        <v>140</v>
      </c>
      <c r="R8" s="3" t="s">
        <v>52</v>
      </c>
      <c r="S8" s="3" t="s">
        <v>141</v>
      </c>
      <c r="T8" s="3" t="s">
        <v>103</v>
      </c>
      <c r="U8" s="3" t="s">
        <v>89</v>
      </c>
      <c r="V8" s="3" t="s">
        <v>142</v>
      </c>
      <c r="W8" s="3" t="s">
        <v>52</v>
      </c>
      <c r="X8" s="3" t="s">
        <v>52</v>
      </c>
      <c r="Y8" s="3" t="s">
        <v>52</v>
      </c>
      <c r="Z8" s="3" t="s">
        <v>52</v>
      </c>
      <c r="AA8" s="3" t="s">
        <v>52</v>
      </c>
      <c r="AB8" s="3" t="s">
        <v>59</v>
      </c>
      <c r="AD8" s="7" t="b">
        <v>0</v>
      </c>
      <c r="AE8" s="7" t="b">
        <v>0</v>
      </c>
      <c r="AF8" s="7" t="b">
        <v>0</v>
      </c>
      <c r="AG8" s="3" t="s">
        <v>143</v>
      </c>
      <c r="AH8" s="3" t="s">
        <v>52</v>
      </c>
      <c r="AI8" s="3" t="s">
        <v>52</v>
      </c>
      <c r="AJ8" s="3" t="s">
        <v>52</v>
      </c>
      <c r="AK8" s="3" t="s">
        <v>52</v>
      </c>
      <c r="AL8" s="7" t="b">
        <v>0</v>
      </c>
      <c r="AM8" s="3" t="s">
        <v>144</v>
      </c>
      <c r="AO8" s="2">
        <v>217</v>
      </c>
      <c r="AQ8" s="3" t="s">
        <v>52</v>
      </c>
      <c r="AR8" s="3" t="s">
        <v>52</v>
      </c>
      <c r="AS8" s="3" t="s">
        <v>52</v>
      </c>
      <c r="AT8" s="3" t="s">
        <v>52</v>
      </c>
      <c r="AU8" s="9"/>
      <c r="AV8" s="9"/>
      <c r="AW8" s="9">
        <v>1</v>
      </c>
      <c r="AX8" t="str">
        <f t="shared" si="0"/>
        <v>('BIRDSELL', 'KEVIN', 'VETERAN JUSTICE OUTREACH SPECIALIST', '2310 COLTON DRIVE', 'NORTH CHESTERFIELD', 'VA', '23235', '(804) 675-5000', '(804) 675-5000', '7/4/1975', '10/17/2014', 'Varies', '', '', '', 'Federal Government ID', '', 'kevin.birdsell@va.gov', 'White', 'Male', '218-17-8316', '', '', '', '', '', 'SECULAR', '', 'FALSE', 'FALSE', 'FALSE', 'Active', '', '', '', '', 'FALSE', 'July', '', '217', '', '', '', '', '', '', '', '1'),</v>
      </c>
    </row>
    <row r="9" spans="1:50" ht="25.5" x14ac:dyDescent="0.25">
      <c r="A9" s="2">
        <v>1293</v>
      </c>
      <c r="B9" s="3" t="s">
        <v>146</v>
      </c>
      <c r="C9" s="3" t="s">
        <v>147</v>
      </c>
      <c r="D9" s="3" t="s">
        <v>148</v>
      </c>
      <c r="E9" s="3" t="s">
        <v>149</v>
      </c>
      <c r="F9" s="3" t="s">
        <v>150</v>
      </c>
      <c r="G9" s="3" t="s">
        <v>50</v>
      </c>
      <c r="H9" s="4">
        <v>23875</v>
      </c>
      <c r="I9" s="3" t="s">
        <v>151</v>
      </c>
      <c r="J9" s="3" t="s">
        <v>52</v>
      </c>
      <c r="K9" s="5" t="s">
        <v>52</v>
      </c>
      <c r="L9" s="5" t="s">
        <v>52</v>
      </c>
      <c r="M9" s="3" t="s">
        <v>145</v>
      </c>
      <c r="N9" s="3" t="s">
        <v>52</v>
      </c>
      <c r="O9" s="3" t="s">
        <v>52</v>
      </c>
      <c r="P9" s="3" t="s">
        <v>52</v>
      </c>
      <c r="Q9" s="3" t="s">
        <v>52</v>
      </c>
      <c r="R9" s="3" t="s">
        <v>52</v>
      </c>
      <c r="S9" s="3" t="s">
        <v>52</v>
      </c>
      <c r="T9" s="3" t="s">
        <v>52</v>
      </c>
      <c r="U9" s="3" t="s">
        <v>52</v>
      </c>
      <c r="V9" s="3" t="s">
        <v>52</v>
      </c>
      <c r="W9" s="3" t="s">
        <v>52</v>
      </c>
      <c r="X9" s="3" t="s">
        <v>52</v>
      </c>
      <c r="Y9" s="3" t="s">
        <v>52</v>
      </c>
      <c r="Z9" s="3" t="s">
        <v>52</v>
      </c>
      <c r="AA9" s="3" t="s">
        <v>52</v>
      </c>
      <c r="AB9" s="3" t="s">
        <v>75</v>
      </c>
      <c r="AD9" s="7" t="b">
        <v>0</v>
      </c>
      <c r="AE9" s="7" t="b">
        <v>0</v>
      </c>
      <c r="AF9" s="7" t="b">
        <v>0</v>
      </c>
      <c r="AG9" s="3" t="s">
        <v>60</v>
      </c>
      <c r="AH9" s="3" t="s">
        <v>52</v>
      </c>
      <c r="AI9" s="3" t="s">
        <v>52</v>
      </c>
      <c r="AJ9" s="3" t="s">
        <v>52</v>
      </c>
      <c r="AK9" s="3" t="s">
        <v>52</v>
      </c>
      <c r="AL9" s="7" t="b">
        <v>0</v>
      </c>
      <c r="AM9" s="3" t="s">
        <v>52</v>
      </c>
      <c r="AO9" s="2">
        <v>0</v>
      </c>
      <c r="AQ9" s="3" t="s">
        <v>52</v>
      </c>
      <c r="AR9" s="3" t="s">
        <v>52</v>
      </c>
      <c r="AS9" s="3" t="s">
        <v>52</v>
      </c>
      <c r="AT9" s="3" t="s">
        <v>52</v>
      </c>
      <c r="AU9" s="9"/>
      <c r="AV9" s="9"/>
      <c r="AW9" s="9">
        <v>1</v>
      </c>
      <c r="AX9" t="str">
        <f t="shared" si="0"/>
        <v>('BLYDEN', 'PAUL', 'MINISTRY-SUNDAY SERVICE', '6032 CHINQUAPIN CIRCLE', 'PRINCE GEORGE', 'VA', '23875', '(678) 973-3978', '', '', '', 'Sun 7:30-9:00pm Week 3 HU5', '', '', '', '', '', '', '', '', '', '', '', '', '', '', 'MINISTRY', '', 'FALSE', 'FALSE', 'FALSE', 'COVID INACTIVE', '', '', '', '', 'FALSE', '', '', '0', '', '', '', '', '', '', '', '1'),</v>
      </c>
    </row>
    <row r="10" spans="1:50" ht="38.25" x14ac:dyDescent="0.25">
      <c r="A10" s="2">
        <v>1294</v>
      </c>
      <c r="B10" s="3" t="s">
        <v>153</v>
      </c>
      <c r="C10" s="3" t="s">
        <v>154</v>
      </c>
      <c r="D10" s="3" t="s">
        <v>155</v>
      </c>
      <c r="E10" s="3" t="s">
        <v>156</v>
      </c>
      <c r="F10" s="3" t="s">
        <v>157</v>
      </c>
      <c r="G10" s="3" t="s">
        <v>50</v>
      </c>
      <c r="H10" s="4">
        <v>23860</v>
      </c>
      <c r="I10" s="3" t="s">
        <v>52</v>
      </c>
      <c r="J10" s="3" t="s">
        <v>158</v>
      </c>
      <c r="K10" s="5" t="s">
        <v>52</v>
      </c>
      <c r="L10" s="5" t="s">
        <v>52</v>
      </c>
      <c r="M10" s="3" t="s">
        <v>152</v>
      </c>
      <c r="N10" s="3" t="s">
        <v>52</v>
      </c>
      <c r="O10" s="3" t="s">
        <v>52</v>
      </c>
      <c r="P10" s="3" t="s">
        <v>52</v>
      </c>
      <c r="Q10" s="3" t="s">
        <v>52</v>
      </c>
      <c r="R10" s="3" t="s">
        <v>52</v>
      </c>
      <c r="S10" s="3" t="s">
        <v>159</v>
      </c>
      <c r="T10" s="3" t="s">
        <v>103</v>
      </c>
      <c r="U10" s="3" t="s">
        <v>57</v>
      </c>
      <c r="V10" s="3" t="s">
        <v>52</v>
      </c>
      <c r="W10" s="3" t="s">
        <v>52</v>
      </c>
      <c r="X10" s="3" t="s">
        <v>52</v>
      </c>
      <c r="Y10" s="3" t="s">
        <v>52</v>
      </c>
      <c r="Z10" s="3" t="s">
        <v>52</v>
      </c>
      <c r="AA10" s="3" t="s">
        <v>52</v>
      </c>
      <c r="AB10" s="3" t="s">
        <v>75</v>
      </c>
      <c r="AD10" s="7" t="b">
        <v>0</v>
      </c>
      <c r="AE10" s="7" t="b">
        <v>0</v>
      </c>
      <c r="AF10" s="7" t="b">
        <v>0</v>
      </c>
      <c r="AG10" s="3" t="s">
        <v>60</v>
      </c>
      <c r="AH10" s="3" t="s">
        <v>52</v>
      </c>
      <c r="AI10" s="3" t="s">
        <v>52</v>
      </c>
      <c r="AJ10" s="3" t="s">
        <v>160</v>
      </c>
      <c r="AK10" s="3" t="s">
        <v>161</v>
      </c>
      <c r="AL10" s="7" t="b">
        <v>1</v>
      </c>
      <c r="AM10" s="3" t="s">
        <v>52</v>
      </c>
      <c r="AO10" s="2">
        <v>0</v>
      </c>
      <c r="AQ10" s="3" t="s">
        <v>52</v>
      </c>
      <c r="AR10" s="3" t="s">
        <v>52</v>
      </c>
      <c r="AS10" s="3" t="s">
        <v>52</v>
      </c>
      <c r="AT10" s="3" t="s">
        <v>52</v>
      </c>
      <c r="AU10" s="9"/>
      <c r="AV10" s="9"/>
      <c r="AW10" s="9">
        <v>1</v>
      </c>
      <c r="AX10" t="str">
        <f t="shared" si="0"/>
        <v>('BOGESE', 'DEBORAH', 'MINISTRY-ADMINISTRATIVE', '8539 COUNTRY VIEW', 'NORTH PRINCE GEORGE', 'VA', '23860', '', '(804) 731-2523', '', '', 'Mon 8:00am-12:00pm', '', '', '', '', '', 'DSBOGESE@COMCAST.NET', 'White', 'Female', '', '', '', '', '', '', 'MINISTRY', '', 'FALSE', 'FALSE', 'FALSE', 'COVID INACTIVE', '', '', 'ADMINISTRATIVE', 'GOOD NEWS LESSONS', 'TRUE', '', '', '0', '', '', '', '', '', '', '', '1'),</v>
      </c>
    </row>
    <row r="11" spans="1:50" ht="25.5" x14ac:dyDescent="0.25">
      <c r="A11" s="2">
        <v>1393</v>
      </c>
      <c r="B11" s="3" t="s">
        <v>163</v>
      </c>
      <c r="C11" s="3" t="s">
        <v>164</v>
      </c>
      <c r="D11" s="3" t="s">
        <v>165</v>
      </c>
      <c r="E11" s="3" t="s">
        <v>166</v>
      </c>
      <c r="F11" s="3" t="s">
        <v>167</v>
      </c>
      <c r="G11" s="3" t="s">
        <v>168</v>
      </c>
      <c r="H11" s="4">
        <v>6042</v>
      </c>
      <c r="I11" s="3" t="s">
        <v>169</v>
      </c>
      <c r="J11" s="3" t="s">
        <v>169</v>
      </c>
      <c r="K11" s="5" t="s">
        <v>170</v>
      </c>
      <c r="L11" s="5" t="s">
        <v>171</v>
      </c>
      <c r="M11" s="3" t="s">
        <v>162</v>
      </c>
      <c r="N11" s="3" t="s">
        <v>52</v>
      </c>
      <c r="O11" s="3" t="s">
        <v>52</v>
      </c>
      <c r="P11" s="3" t="s">
        <v>52</v>
      </c>
      <c r="Q11" s="3" t="s">
        <v>172</v>
      </c>
      <c r="R11" s="3" t="s">
        <v>52</v>
      </c>
      <c r="S11" s="3" t="s">
        <v>173</v>
      </c>
      <c r="T11" s="3" t="s">
        <v>56</v>
      </c>
      <c r="U11" s="3" t="s">
        <v>57</v>
      </c>
      <c r="V11" s="3" t="s">
        <v>174</v>
      </c>
      <c r="W11" s="3" t="s">
        <v>52</v>
      </c>
      <c r="X11" s="3" t="s">
        <v>52</v>
      </c>
      <c r="Y11" s="3" t="s">
        <v>52</v>
      </c>
      <c r="Z11" s="3" t="s">
        <v>52</v>
      </c>
      <c r="AA11" s="3" t="s">
        <v>52</v>
      </c>
      <c r="AB11" s="3" t="s">
        <v>175</v>
      </c>
      <c r="AD11" s="7" t="b">
        <v>0</v>
      </c>
      <c r="AE11" s="7" t="b">
        <v>0</v>
      </c>
      <c r="AF11" s="7" t="b">
        <v>0</v>
      </c>
      <c r="AG11" s="3" t="s">
        <v>91</v>
      </c>
      <c r="AH11" s="3" t="s">
        <v>52</v>
      </c>
      <c r="AI11" s="3" t="s">
        <v>52</v>
      </c>
      <c r="AJ11" s="3" t="s">
        <v>52</v>
      </c>
      <c r="AK11" s="3" t="s">
        <v>52</v>
      </c>
      <c r="AL11" s="7" t="b">
        <v>0</v>
      </c>
      <c r="AM11" s="3" t="s">
        <v>176</v>
      </c>
      <c r="AO11" s="2">
        <v>0</v>
      </c>
      <c r="AQ11" s="3" t="s">
        <v>52</v>
      </c>
      <c r="AR11" s="3" t="s">
        <v>52</v>
      </c>
      <c r="AS11" s="3" t="s">
        <v>52</v>
      </c>
      <c r="AT11" s="3" t="s">
        <v>52</v>
      </c>
      <c r="AU11" s="9"/>
      <c r="AV11" s="9"/>
      <c r="AW11" s="9">
        <v>1</v>
      </c>
      <c r="AX11" t="str">
        <f t="shared" si="0"/>
        <v>('BONNER', 'RHACQUEL', 'INTERN/CASE MANAGER', '345 BUCKLAND HILLS DRIVE APT#7223', 'MANCHESTER', 'CT', '6042', '(959) 200-0920', '(959) 200-0920', '11/21/2002', '1/23/2024', 'Tuesday &amp; Thursday 8:00am-4:30pm', '', '', '', 'MOU', '', 'RHACQUELB', 'Black', 'Female', '049-04-3201', '', '', '', '', '', 'INTERN', '', 'FALSE', 'FALSE', 'FALSE', 'ACTIVE', '', '', '', '', 'FALSE', 'November', '', '0', '', '', '', '', '', '', '', '1'),</v>
      </c>
    </row>
    <row r="12" spans="1:50" ht="25.5" x14ac:dyDescent="0.25">
      <c r="A12" s="2">
        <v>1285</v>
      </c>
      <c r="B12" s="3" t="s">
        <v>178</v>
      </c>
      <c r="C12" s="3" t="s">
        <v>154</v>
      </c>
      <c r="D12" s="3" t="s">
        <v>179</v>
      </c>
      <c r="E12" s="3" t="s">
        <v>180</v>
      </c>
      <c r="F12" s="3" t="s">
        <v>68</v>
      </c>
      <c r="G12" s="3" t="s">
        <v>50</v>
      </c>
      <c r="H12" s="4">
        <v>23803</v>
      </c>
      <c r="I12" s="3" t="s">
        <v>181</v>
      </c>
      <c r="J12" s="3" t="s">
        <v>52</v>
      </c>
      <c r="K12" s="5" t="s">
        <v>182</v>
      </c>
      <c r="L12" s="5" t="s">
        <v>183</v>
      </c>
      <c r="M12" s="3" t="s">
        <v>177</v>
      </c>
      <c r="N12" s="3" t="s">
        <v>52</v>
      </c>
      <c r="O12" s="3" t="s">
        <v>52</v>
      </c>
      <c r="P12" s="3" t="s">
        <v>52</v>
      </c>
      <c r="Q12" s="3" t="s">
        <v>87</v>
      </c>
      <c r="R12" s="3" t="s">
        <v>52</v>
      </c>
      <c r="S12" s="3" t="s">
        <v>184</v>
      </c>
      <c r="T12" s="3" t="s">
        <v>56</v>
      </c>
      <c r="U12" s="3" t="s">
        <v>57</v>
      </c>
      <c r="V12" s="3" t="s">
        <v>185</v>
      </c>
      <c r="W12" s="3" t="s">
        <v>52</v>
      </c>
      <c r="X12" s="3" t="s">
        <v>52</v>
      </c>
      <c r="Y12" s="3" t="s">
        <v>52</v>
      </c>
      <c r="Z12" s="3" t="s">
        <v>52</v>
      </c>
      <c r="AA12" s="3" t="s">
        <v>52</v>
      </c>
      <c r="AB12" s="3" t="s">
        <v>59</v>
      </c>
      <c r="AD12" s="7" t="b">
        <v>0</v>
      </c>
      <c r="AE12" s="7" t="b">
        <v>0</v>
      </c>
      <c r="AF12" s="7" t="b">
        <v>0</v>
      </c>
      <c r="AG12" s="3" t="s">
        <v>60</v>
      </c>
      <c r="AH12" s="3" t="s">
        <v>52</v>
      </c>
      <c r="AI12" s="3" t="s">
        <v>52</v>
      </c>
      <c r="AJ12" s="3" t="s">
        <v>52</v>
      </c>
      <c r="AK12" s="3" t="s">
        <v>52</v>
      </c>
      <c r="AL12" s="7" t="b">
        <v>0</v>
      </c>
      <c r="AM12" s="3" t="s">
        <v>186</v>
      </c>
      <c r="AO12" s="2">
        <v>0</v>
      </c>
      <c r="AQ12" s="3" t="s">
        <v>52</v>
      </c>
      <c r="AR12" s="3" t="s">
        <v>52</v>
      </c>
      <c r="AS12" s="3" t="s">
        <v>52</v>
      </c>
      <c r="AT12" s="3" t="s">
        <v>52</v>
      </c>
      <c r="AU12" s="9"/>
      <c r="AV12" s="9"/>
      <c r="AW12" s="9">
        <v>1</v>
      </c>
      <c r="AX12" t="str">
        <f t="shared" si="0"/>
        <v>('BUFORD', 'DEBORAH', 'MENTAL HEALTH OUTREACH RIVER CIITY', '1144 W. NORMANDALE AVENUE', 'PETERSBURG', 'VA', '23803', '(804) 943-5504', '', '12/6/1948', '6/3/2019', 'Varies Male &amp; female', '', '', '', 'Degree', '', 'dbuford@riercityccs.com', 'Black', 'Female', '228-68-1919', '', '', '', '', '', 'SECULAR', '', 'FALSE', 'FALSE', 'FALSE', 'COVID INACTIVE', '', '', '', '', 'FALSE', 'December', '', '0', '', '', '', '', '', '', '', '1'),</v>
      </c>
    </row>
    <row r="13" spans="1:50" ht="25.5" x14ac:dyDescent="0.25">
      <c r="A13" s="2">
        <v>1264</v>
      </c>
      <c r="B13" s="3" t="s">
        <v>188</v>
      </c>
      <c r="C13" s="3" t="s">
        <v>189</v>
      </c>
      <c r="D13" s="3" t="s">
        <v>122</v>
      </c>
      <c r="E13" s="3" t="s">
        <v>190</v>
      </c>
      <c r="F13" s="3" t="s">
        <v>68</v>
      </c>
      <c r="G13" s="3" t="s">
        <v>50</v>
      </c>
      <c r="H13" s="4">
        <v>23803</v>
      </c>
      <c r="I13" s="3" t="s">
        <v>191</v>
      </c>
      <c r="J13" s="3" t="s">
        <v>52</v>
      </c>
      <c r="K13" s="5" t="s">
        <v>192</v>
      </c>
      <c r="L13" s="5" t="s">
        <v>193</v>
      </c>
      <c r="M13" s="3" t="s">
        <v>187</v>
      </c>
      <c r="N13" s="3" t="s">
        <v>52</v>
      </c>
      <c r="O13" s="3" t="s">
        <v>52</v>
      </c>
      <c r="P13" s="3" t="s">
        <v>52</v>
      </c>
      <c r="Q13" s="3" t="s">
        <v>102</v>
      </c>
      <c r="R13" s="3" t="s">
        <v>52</v>
      </c>
      <c r="S13" s="3" t="s">
        <v>52</v>
      </c>
      <c r="T13" s="3" t="s">
        <v>56</v>
      </c>
      <c r="U13" s="3" t="s">
        <v>89</v>
      </c>
      <c r="V13" s="3" t="s">
        <v>194</v>
      </c>
      <c r="W13" s="3" t="s">
        <v>52</v>
      </c>
      <c r="X13" s="3" t="s">
        <v>52</v>
      </c>
      <c r="Y13" s="3" t="s">
        <v>52</v>
      </c>
      <c r="Z13" s="3" t="s">
        <v>52</v>
      </c>
      <c r="AA13" s="3" t="s">
        <v>52</v>
      </c>
      <c r="AB13" s="3" t="s">
        <v>59</v>
      </c>
      <c r="AD13" s="7" t="b">
        <v>1</v>
      </c>
      <c r="AE13" s="7" t="b">
        <v>1</v>
      </c>
      <c r="AF13" s="7" t="b">
        <v>0</v>
      </c>
      <c r="AG13" s="3" t="s">
        <v>60</v>
      </c>
      <c r="AH13" s="3" t="s">
        <v>52</v>
      </c>
      <c r="AI13" s="3" t="s">
        <v>52</v>
      </c>
      <c r="AJ13" s="3" t="s">
        <v>52</v>
      </c>
      <c r="AK13" s="3" t="s">
        <v>52</v>
      </c>
      <c r="AL13" s="7" t="b">
        <v>0</v>
      </c>
      <c r="AM13" s="3" t="s">
        <v>176</v>
      </c>
      <c r="AO13" s="2">
        <v>0</v>
      </c>
      <c r="AQ13" s="3" t="s">
        <v>52</v>
      </c>
      <c r="AR13" s="3" t="s">
        <v>52</v>
      </c>
      <c r="AS13" s="3" t="s">
        <v>52</v>
      </c>
      <c r="AT13" s="3" t="s">
        <v>52</v>
      </c>
      <c r="AU13" s="9"/>
      <c r="AV13" s="9"/>
      <c r="AW13" s="9">
        <v>1</v>
      </c>
      <c r="AX13" t="str">
        <f t="shared" si="0"/>
        <v>('BURROW', 'JOHNNIE', 'AA MEETINGS', '640-D JUNIPER ROAD', 'PETERSBURG', 'VA', '23803', '(804) 712-0699', '', '11/2/1955', '9/28/2018', 'Fri 7:30pm-8:30pm', '', '', '', 'Life Experiences', '', '', 'Black', 'Male', '225-76-0845', '', '', '', '', '', 'SECULAR', '', 'TRUE', 'TRUE', 'FALSE', 'COVID INACTIVE', '', '', '', '', 'FALSE', 'November', '', '0', '', '', '', '', '', '', '', '1'),</v>
      </c>
    </row>
    <row r="14" spans="1:50" ht="38.25" x14ac:dyDescent="0.25">
      <c r="A14" s="2">
        <v>1288</v>
      </c>
      <c r="B14" s="3" t="s">
        <v>195</v>
      </c>
      <c r="C14" s="3" t="s">
        <v>196</v>
      </c>
      <c r="D14" s="3" t="s">
        <v>197</v>
      </c>
      <c r="E14" s="3" t="s">
        <v>198</v>
      </c>
      <c r="F14" s="3" t="s">
        <v>199</v>
      </c>
      <c r="G14" s="3" t="s">
        <v>50</v>
      </c>
      <c r="H14" s="4">
        <v>23140</v>
      </c>
      <c r="I14" s="3" t="s">
        <v>200</v>
      </c>
      <c r="J14" s="3" t="s">
        <v>200</v>
      </c>
      <c r="K14" s="5" t="s">
        <v>201</v>
      </c>
      <c r="L14" s="5" t="s">
        <v>202</v>
      </c>
      <c r="M14" s="3" t="s">
        <v>78</v>
      </c>
      <c r="N14" s="3" t="s">
        <v>52</v>
      </c>
      <c r="O14" s="3" t="s">
        <v>52</v>
      </c>
      <c r="P14" s="3" t="s">
        <v>52</v>
      </c>
      <c r="Q14" s="3" t="s">
        <v>87</v>
      </c>
      <c r="R14" s="3" t="s">
        <v>52</v>
      </c>
      <c r="S14" s="3" t="s">
        <v>203</v>
      </c>
      <c r="T14" s="3" t="s">
        <v>204</v>
      </c>
      <c r="U14" s="3" t="s">
        <v>57</v>
      </c>
      <c r="V14" s="3" t="s">
        <v>205</v>
      </c>
      <c r="W14" s="3" t="s">
        <v>52</v>
      </c>
      <c r="X14" s="3" t="s">
        <v>52</v>
      </c>
      <c r="Y14" s="3" t="s">
        <v>52</v>
      </c>
      <c r="Z14" s="3" t="s">
        <v>52</v>
      </c>
      <c r="AA14" s="3" t="s">
        <v>52</v>
      </c>
      <c r="AB14" s="3" t="s">
        <v>59</v>
      </c>
      <c r="AD14" s="7" t="b">
        <v>0</v>
      </c>
      <c r="AE14" s="7" t="b">
        <v>0</v>
      </c>
      <c r="AF14" s="7" t="b">
        <v>0</v>
      </c>
      <c r="AG14" s="3" t="s">
        <v>143</v>
      </c>
      <c r="AH14" s="3" t="s">
        <v>52</v>
      </c>
      <c r="AI14" s="3" t="s">
        <v>52</v>
      </c>
      <c r="AJ14" s="3" t="s">
        <v>52</v>
      </c>
      <c r="AK14" s="3" t="s">
        <v>52</v>
      </c>
      <c r="AL14" s="7" t="b">
        <v>0</v>
      </c>
      <c r="AM14" s="3" t="s">
        <v>131</v>
      </c>
      <c r="AO14" s="2">
        <v>0</v>
      </c>
      <c r="AQ14" s="3" t="s">
        <v>52</v>
      </c>
      <c r="AR14" s="3" t="s">
        <v>52</v>
      </c>
      <c r="AS14" s="3" t="s">
        <v>52</v>
      </c>
      <c r="AT14" s="3" t="s">
        <v>52</v>
      </c>
      <c r="AU14" s="9"/>
      <c r="AV14" s="9"/>
      <c r="AW14" s="9">
        <v>1</v>
      </c>
      <c r="AX14" t="str">
        <f t="shared" si="0"/>
        <v>('CANADAY', 'MELISSA', 'FOCUSED OUTREACH RICHMOND', '6325 OLIVET CHURCH ROAD', 'PROVIDENCE FORGE', 'VA', '23140', '(804) 586-6412', '(804) 586-6412', '5/4/1965', '8/27/2019', 'Varies', '', '', '', 'Degree', '', 'mcanaday@focusedoutreachrichmond.org', 'American Indian', 'Female', '213-92-6161', '', '', '', '', '', 'SECULAR', '', 'FALSE', 'FALSE', 'FALSE', 'Active', '', '', '', '', 'FALSE', 'May', '', '0', '', '', '', '', '', '', '', '1'),</v>
      </c>
    </row>
    <row r="15" spans="1:50" ht="25.5" x14ac:dyDescent="0.25">
      <c r="A15" s="2">
        <v>1278</v>
      </c>
      <c r="B15" s="3" t="s">
        <v>207</v>
      </c>
      <c r="C15" s="3" t="s">
        <v>208</v>
      </c>
      <c r="D15" s="3" t="s">
        <v>209</v>
      </c>
      <c r="E15" s="3" t="s">
        <v>210</v>
      </c>
      <c r="F15" s="3" t="s">
        <v>68</v>
      </c>
      <c r="G15" s="3" t="s">
        <v>50</v>
      </c>
      <c r="H15" s="4">
        <v>23805</v>
      </c>
      <c r="I15" s="3" t="s">
        <v>211</v>
      </c>
      <c r="J15" s="3" t="s">
        <v>212</v>
      </c>
      <c r="K15" s="5" t="s">
        <v>213</v>
      </c>
      <c r="L15" s="5" t="s">
        <v>214</v>
      </c>
      <c r="M15" s="3" t="s">
        <v>206</v>
      </c>
      <c r="N15" s="3" t="s">
        <v>52</v>
      </c>
      <c r="O15" s="3" t="s">
        <v>52</v>
      </c>
      <c r="P15" s="3" t="s">
        <v>52</v>
      </c>
      <c r="Q15" s="3" t="s">
        <v>87</v>
      </c>
      <c r="R15" s="3" t="s">
        <v>52</v>
      </c>
      <c r="S15" s="3" t="s">
        <v>52</v>
      </c>
      <c r="T15" s="3" t="s">
        <v>56</v>
      </c>
      <c r="U15" s="3" t="s">
        <v>215</v>
      </c>
      <c r="V15" s="3" t="s">
        <v>216</v>
      </c>
      <c r="W15" s="3" t="s">
        <v>52</v>
      </c>
      <c r="X15" s="3" t="s">
        <v>52</v>
      </c>
      <c r="Y15" s="3" t="s">
        <v>52</v>
      </c>
      <c r="Z15" s="3" t="s">
        <v>52</v>
      </c>
      <c r="AA15" s="3" t="s">
        <v>52</v>
      </c>
      <c r="AB15" s="3" t="s">
        <v>59</v>
      </c>
      <c r="AD15" s="7" t="b">
        <v>0</v>
      </c>
      <c r="AE15" s="7" t="b">
        <v>0</v>
      </c>
      <c r="AF15" s="7" t="b">
        <v>0</v>
      </c>
      <c r="AG15" s="3" t="s">
        <v>60</v>
      </c>
      <c r="AH15" s="3" t="s">
        <v>52</v>
      </c>
      <c r="AI15" s="3" t="s">
        <v>52</v>
      </c>
      <c r="AJ15" s="3" t="s">
        <v>52</v>
      </c>
      <c r="AK15" s="3" t="s">
        <v>52</v>
      </c>
      <c r="AL15" s="7" t="b">
        <v>0</v>
      </c>
      <c r="AM15" s="3" t="s">
        <v>217</v>
      </c>
      <c r="AO15" s="2">
        <v>0</v>
      </c>
      <c r="AQ15" s="3" t="s">
        <v>52</v>
      </c>
      <c r="AR15" s="3" t="s">
        <v>52</v>
      </c>
      <c r="AS15" s="3" t="s">
        <v>52</v>
      </c>
      <c r="AT15" s="3" t="s">
        <v>52</v>
      </c>
      <c r="AU15" s="9"/>
      <c r="AV15" s="9"/>
      <c r="AW15" s="9">
        <v>1</v>
      </c>
      <c r="AX15" t="str">
        <f t="shared" si="0"/>
        <v>('CEASER', 'TERRI', 'UNHEALTHY RELATIONSHIP', '156 SEYLER DRIVE', 'PETERSBURG', 'VA', '23805', '(804) 734-6378', '(804) 721-0610', '3/7/1959', '5/7/2019', '4th Wed 7:30pm-8:30pm', '', '', '', 'Degree', '', '', 'Black', 'females', '226-98-1505', '', '', '', '', '', 'SECULAR', '', 'FALSE', 'FALSE', 'FALSE', 'COVID INACTIVE', '', '', '', '', 'FALSE', 'March', '', '0', '', '', '', '', '', '', '', '1'),</v>
      </c>
    </row>
    <row r="16" spans="1:50" ht="25.5" x14ac:dyDescent="0.25">
      <c r="A16" s="2">
        <v>1296</v>
      </c>
      <c r="B16" s="3" t="s">
        <v>218</v>
      </c>
      <c r="C16" s="3" t="s">
        <v>219</v>
      </c>
      <c r="D16" s="3" t="s">
        <v>220</v>
      </c>
      <c r="E16" s="3" t="s">
        <v>221</v>
      </c>
      <c r="F16" s="3" t="s">
        <v>222</v>
      </c>
      <c r="G16" s="3" t="s">
        <v>50</v>
      </c>
      <c r="H16" s="4">
        <v>23838</v>
      </c>
      <c r="I16" s="3" t="s">
        <v>223</v>
      </c>
      <c r="J16" s="3" t="s">
        <v>224</v>
      </c>
      <c r="K16" s="5" t="s">
        <v>52</v>
      </c>
      <c r="L16" s="5" t="s">
        <v>52</v>
      </c>
      <c r="M16" s="3" t="s">
        <v>78</v>
      </c>
      <c r="N16" s="3" t="s">
        <v>52</v>
      </c>
      <c r="O16" s="3" t="s">
        <v>52</v>
      </c>
      <c r="P16" s="3" t="s">
        <v>52</v>
      </c>
      <c r="Q16" s="3" t="s">
        <v>52</v>
      </c>
      <c r="R16" s="3" t="s">
        <v>52</v>
      </c>
      <c r="S16" s="3" t="s">
        <v>225</v>
      </c>
      <c r="T16" s="3" t="s">
        <v>56</v>
      </c>
      <c r="U16" s="3" t="s">
        <v>89</v>
      </c>
      <c r="V16" s="3" t="s">
        <v>52</v>
      </c>
      <c r="W16" s="3" t="s">
        <v>52</v>
      </c>
      <c r="X16" s="3" t="s">
        <v>52</v>
      </c>
      <c r="Y16" s="3" t="s">
        <v>52</v>
      </c>
      <c r="Z16" s="3" t="s">
        <v>52</v>
      </c>
      <c r="AA16" s="3" t="s">
        <v>52</v>
      </c>
      <c r="AB16" s="3" t="s">
        <v>75</v>
      </c>
      <c r="AD16" s="7" t="b">
        <v>0</v>
      </c>
      <c r="AE16" s="7" t="b">
        <v>0</v>
      </c>
      <c r="AF16" s="7" t="b">
        <v>0</v>
      </c>
      <c r="AG16" s="3" t="s">
        <v>60</v>
      </c>
      <c r="AH16" s="3" t="s">
        <v>52</v>
      </c>
      <c r="AI16" s="3" t="s">
        <v>52</v>
      </c>
      <c r="AJ16" s="3" t="s">
        <v>226</v>
      </c>
      <c r="AK16" s="3" t="s">
        <v>227</v>
      </c>
      <c r="AL16" s="7" t="b">
        <v>1</v>
      </c>
      <c r="AM16" s="3" t="s">
        <v>52</v>
      </c>
      <c r="AO16" s="2">
        <v>0</v>
      </c>
      <c r="AQ16" s="3" t="s">
        <v>52</v>
      </c>
      <c r="AR16" s="3" t="s">
        <v>52</v>
      </c>
      <c r="AS16" s="3" t="s">
        <v>52</v>
      </c>
      <c r="AT16" s="3" t="s">
        <v>52</v>
      </c>
      <c r="AU16" s="9"/>
      <c r="AV16" s="9"/>
      <c r="AW16" s="9">
        <v>1</v>
      </c>
      <c r="AX16" t="str">
        <f t="shared" si="0"/>
        <v>('CHILES, SR.', 'DOUGLAS', 'MINISTRY-BIBLE STUDY/SUNDAY SERVICE/TRAUMA HEALING', '15518 CHESDIN LANDING COURT', 'CHESTERFIELD', 'VA', '23838', '(804) 590-1480', '(706) 471-0003', '', '', 'Varies', '', '', '', '', '', 'chilesd55@gmail.com', 'Black', 'Male', '', '', '', '', '', '', 'MINISTRY', '', 'FALSE', 'FALSE', 'FALSE', 'COVID INACTIVE', '', '', 'ON CALL', 'Anytime after 1200 hours', 'TRUE', '', '', '0', '', '', '', '', '', '', '', '1'),</v>
      </c>
    </row>
    <row r="17" spans="1:50" ht="25.5" x14ac:dyDescent="0.25">
      <c r="A17" s="2">
        <v>1207</v>
      </c>
      <c r="B17" s="3" t="s">
        <v>229</v>
      </c>
      <c r="C17" s="3" t="s">
        <v>230</v>
      </c>
      <c r="D17" s="3" t="s">
        <v>231</v>
      </c>
      <c r="E17" s="3" t="s">
        <v>232</v>
      </c>
      <c r="F17" s="3" t="s">
        <v>136</v>
      </c>
      <c r="G17" s="3" t="s">
        <v>50</v>
      </c>
      <c r="H17" s="4">
        <v>23234</v>
      </c>
      <c r="I17" s="3" t="s">
        <v>233</v>
      </c>
      <c r="J17" s="3" t="s">
        <v>52</v>
      </c>
      <c r="K17" s="5" t="s">
        <v>234</v>
      </c>
      <c r="L17" s="5" t="s">
        <v>235</v>
      </c>
      <c r="M17" s="3" t="s">
        <v>228</v>
      </c>
      <c r="N17" s="3" t="s">
        <v>52</v>
      </c>
      <c r="O17" s="3" t="s">
        <v>52</v>
      </c>
      <c r="P17" s="3" t="s">
        <v>52</v>
      </c>
      <c r="Q17" s="3" t="s">
        <v>87</v>
      </c>
      <c r="R17" s="3" t="s">
        <v>52</v>
      </c>
      <c r="S17" s="3" t="s">
        <v>52</v>
      </c>
      <c r="T17" s="3" t="s">
        <v>56</v>
      </c>
      <c r="U17" s="3" t="s">
        <v>57</v>
      </c>
      <c r="V17" s="3" t="s">
        <v>236</v>
      </c>
      <c r="W17" s="3" t="s">
        <v>52</v>
      </c>
      <c r="X17" s="3" t="s">
        <v>52</v>
      </c>
      <c r="Y17" s="3" t="s">
        <v>52</v>
      </c>
      <c r="Z17" s="3" t="s">
        <v>52</v>
      </c>
      <c r="AA17" s="3" t="s">
        <v>52</v>
      </c>
      <c r="AB17" s="3" t="s">
        <v>59</v>
      </c>
      <c r="AD17" s="7" t="b">
        <v>1</v>
      </c>
      <c r="AE17" s="7" t="b">
        <v>1</v>
      </c>
      <c r="AF17" s="7" t="b">
        <v>0</v>
      </c>
      <c r="AG17" s="3" t="s">
        <v>60</v>
      </c>
      <c r="AH17" s="3" t="s">
        <v>52</v>
      </c>
      <c r="AI17" s="3" t="s">
        <v>52</v>
      </c>
      <c r="AJ17" s="3" t="s">
        <v>52</v>
      </c>
      <c r="AK17" s="3" t="s">
        <v>52</v>
      </c>
      <c r="AL17" s="7" t="b">
        <v>0</v>
      </c>
      <c r="AM17" s="3" t="s">
        <v>237</v>
      </c>
      <c r="AO17" s="2">
        <v>0</v>
      </c>
      <c r="AQ17" s="3" t="s">
        <v>52</v>
      </c>
      <c r="AR17" s="3" t="s">
        <v>52</v>
      </c>
      <c r="AS17" s="3" t="s">
        <v>52</v>
      </c>
      <c r="AT17" s="3" t="s">
        <v>52</v>
      </c>
      <c r="AU17" s="9"/>
      <c r="AV17" s="9"/>
      <c r="AW17" s="9">
        <v>1</v>
      </c>
      <c r="AX17" t="str">
        <f t="shared" si="0"/>
        <v>('CLAIBORN', 'CORETHA', 'ALAMO RECOVERY CENTER/ANGER MANAGEMENT GROUP', '7053 OMALLEY DRIVE', 'NORTH CHESTERFIELD', 'VA', '23234', '(804) 651-0876', '', '1/19/1967', '8/17/2016', '3rd Fri 9:00am-11:30am', '', '', '', 'Degree', '', '', 'Black', 'Female', '224-17-2406', '', '', '', '', '', 'SECULAR', '', 'TRUE', 'TRUE', 'FALSE', 'COVID INACTIVE', '', '', '', '', 'FALSE', 'January', '', '0', '', '', '', '', '', '', '', '1'),</v>
      </c>
    </row>
    <row r="18" spans="1:50" ht="25.5" x14ac:dyDescent="0.25">
      <c r="A18" s="2">
        <v>890</v>
      </c>
      <c r="B18" s="3" t="s">
        <v>239</v>
      </c>
      <c r="C18" s="3" t="s">
        <v>240</v>
      </c>
      <c r="D18" s="3" t="s">
        <v>241</v>
      </c>
      <c r="E18" s="3" t="s">
        <v>242</v>
      </c>
      <c r="F18" s="3" t="s">
        <v>68</v>
      </c>
      <c r="G18" s="3" t="s">
        <v>50</v>
      </c>
      <c r="H18" s="4">
        <v>23805</v>
      </c>
      <c r="I18" s="3" t="s">
        <v>243</v>
      </c>
      <c r="J18" s="3" t="s">
        <v>52</v>
      </c>
      <c r="K18" s="5" t="s">
        <v>244</v>
      </c>
      <c r="L18" s="5" t="s">
        <v>101</v>
      </c>
      <c r="M18" s="3" t="s">
        <v>238</v>
      </c>
      <c r="N18" s="3" t="s">
        <v>52</v>
      </c>
      <c r="O18" s="3" t="s">
        <v>52</v>
      </c>
      <c r="P18" s="3" t="s">
        <v>245</v>
      </c>
      <c r="Q18" s="3" t="s">
        <v>73</v>
      </c>
      <c r="R18" s="3" t="s">
        <v>52</v>
      </c>
      <c r="S18" s="3" t="s">
        <v>52</v>
      </c>
      <c r="T18" s="3" t="s">
        <v>103</v>
      </c>
      <c r="U18" s="3" t="s">
        <v>57</v>
      </c>
      <c r="V18" s="3" t="s">
        <v>246</v>
      </c>
      <c r="W18" s="3" t="s">
        <v>52</v>
      </c>
      <c r="X18" s="3" t="s">
        <v>52</v>
      </c>
      <c r="Y18" s="3" t="s">
        <v>52</v>
      </c>
      <c r="Z18" s="3" t="s">
        <v>52</v>
      </c>
      <c r="AA18" s="3" t="s">
        <v>52</v>
      </c>
      <c r="AB18" s="3" t="s">
        <v>59</v>
      </c>
      <c r="AD18" s="7" t="b">
        <v>0</v>
      </c>
      <c r="AE18" s="7" t="b">
        <v>0</v>
      </c>
      <c r="AF18" s="7" t="b">
        <v>0</v>
      </c>
      <c r="AG18" s="3" t="s">
        <v>60</v>
      </c>
      <c r="AH18" s="3" t="s">
        <v>52</v>
      </c>
      <c r="AI18" s="3" t="s">
        <v>247</v>
      </c>
      <c r="AJ18" s="3" t="s">
        <v>52</v>
      </c>
      <c r="AK18" s="3" t="s">
        <v>52</v>
      </c>
      <c r="AL18" s="7" t="b">
        <v>0</v>
      </c>
      <c r="AM18" s="3" t="s">
        <v>248</v>
      </c>
      <c r="AO18" s="2">
        <v>0</v>
      </c>
      <c r="AP18" s="6">
        <v>41538</v>
      </c>
      <c r="AQ18" s="3" t="s">
        <v>52</v>
      </c>
      <c r="AR18" s="3" t="s">
        <v>52</v>
      </c>
      <c r="AS18" s="3" t="s">
        <v>52</v>
      </c>
      <c r="AT18" s="3" t="s">
        <v>52</v>
      </c>
      <c r="AU18" s="9"/>
      <c r="AV18" s="9"/>
      <c r="AW18" s="9">
        <v>1</v>
      </c>
      <c r="AX18" t="str">
        <f t="shared" si="0"/>
        <v>('CLAYBORNE', 'JANE', 'THE JAMES HOUSE', '1716 S. SYCAMORE STREET', 'PETERSBURG', 'VA', '23805', '(804) 299-1414', '', '6/25/1959', '6/6/2012', 'Mon 9:00am-12:00pm &amp; Thur 9:00am-10:00am', '', '', '(804) 458- 2704', 'Letter of Recommendation', '', '', 'White', 'Female', '398-54-2719', '', '', '', '', '', 'SECULAR', '', 'FALSE', 'FALSE', 'FALSE', 'COVID INACTIVE', '', 'James House', '', '', 'FALSE', 'June', '', '0', '41538', '', '', '', '', '', '', '1'),</v>
      </c>
    </row>
    <row r="19" spans="1:50" ht="25.5" x14ac:dyDescent="0.25">
      <c r="A19" s="2">
        <v>1297</v>
      </c>
      <c r="B19" s="3" t="s">
        <v>250</v>
      </c>
      <c r="C19" s="3" t="s">
        <v>251</v>
      </c>
      <c r="D19" s="3" t="s">
        <v>148</v>
      </c>
      <c r="E19" s="3" t="s">
        <v>252</v>
      </c>
      <c r="F19" s="3" t="s">
        <v>49</v>
      </c>
      <c r="G19" s="3" t="s">
        <v>50</v>
      </c>
      <c r="H19" s="4">
        <v>23223</v>
      </c>
      <c r="I19" s="3" t="s">
        <v>253</v>
      </c>
      <c r="J19" s="3" t="s">
        <v>254</v>
      </c>
      <c r="K19" s="5" t="s">
        <v>255</v>
      </c>
      <c r="L19" s="5" t="s">
        <v>256</v>
      </c>
      <c r="M19" s="3" t="s">
        <v>249</v>
      </c>
      <c r="N19" s="3" t="s">
        <v>52</v>
      </c>
      <c r="O19" s="3" t="s">
        <v>52</v>
      </c>
      <c r="P19" s="3" t="s">
        <v>52</v>
      </c>
      <c r="Q19" s="3" t="s">
        <v>52</v>
      </c>
      <c r="R19" s="3" t="s">
        <v>52</v>
      </c>
      <c r="S19" s="3" t="s">
        <v>52</v>
      </c>
      <c r="T19" s="3" t="s">
        <v>56</v>
      </c>
      <c r="U19" s="3" t="s">
        <v>89</v>
      </c>
      <c r="V19" s="3" t="s">
        <v>257</v>
      </c>
      <c r="W19" s="3" t="s">
        <v>52</v>
      </c>
      <c r="X19" s="3" t="s">
        <v>52</v>
      </c>
      <c r="Y19" s="3" t="s">
        <v>52</v>
      </c>
      <c r="Z19" s="3" t="s">
        <v>52</v>
      </c>
      <c r="AA19" s="3" t="s">
        <v>52</v>
      </c>
      <c r="AB19" s="3" t="s">
        <v>75</v>
      </c>
      <c r="AD19" s="7" t="b">
        <v>0</v>
      </c>
      <c r="AE19" s="7" t="b">
        <v>0</v>
      </c>
      <c r="AF19" s="7" t="b">
        <v>0</v>
      </c>
      <c r="AG19" s="3" t="s">
        <v>60</v>
      </c>
      <c r="AH19" s="3" t="s">
        <v>52</v>
      </c>
      <c r="AI19" s="3" t="s">
        <v>52</v>
      </c>
      <c r="AJ19" s="3" t="s">
        <v>52</v>
      </c>
      <c r="AK19" s="3" t="s">
        <v>52</v>
      </c>
      <c r="AL19" s="7" t="b">
        <v>0</v>
      </c>
      <c r="AM19" s="3" t="s">
        <v>52</v>
      </c>
      <c r="AO19" s="2">
        <v>0</v>
      </c>
      <c r="AQ19" s="3" t="s">
        <v>52</v>
      </c>
      <c r="AR19" s="3" t="s">
        <v>52</v>
      </c>
      <c r="AS19" s="3" t="s">
        <v>52</v>
      </c>
      <c r="AT19" s="3" t="s">
        <v>52</v>
      </c>
      <c r="AU19" s="9"/>
      <c r="AV19" s="9"/>
      <c r="AW19" s="9">
        <v>1</v>
      </c>
      <c r="AX19" t="str">
        <f t="shared" si="0"/>
        <v>('COLE, JR.', 'ARTHUR', 'MINISTRY-SUNDAY SERVICE', '2104 HARVEST GROVE LANE', 'RICHMOND', 'VA', '23223', '(804) 691-3934', '(804) 279-5811', '4/2/1949', '7/7/1997', 'Sun 9:30-10:45am Week 2 HU2A', '', '', '', '', '', '', 'Black', 'Male', '227-62-8760', '', '', '', '', '', 'MINISTRY', '', 'FALSE', 'FALSE', 'FALSE', 'COVID INACTIVE', '', '', '', '', 'FALSE', '', '', '0', '', '', '', '', '', '', '', '1'),</v>
      </c>
    </row>
    <row r="20" spans="1:50" ht="25.5" x14ac:dyDescent="0.25">
      <c r="A20" s="2">
        <v>1376</v>
      </c>
      <c r="B20" s="3" t="s">
        <v>259</v>
      </c>
      <c r="C20" s="3" t="s">
        <v>260</v>
      </c>
      <c r="D20" s="3" t="s">
        <v>261</v>
      </c>
      <c r="E20" s="3" t="s">
        <v>262</v>
      </c>
      <c r="F20" s="3" t="s">
        <v>68</v>
      </c>
      <c r="G20" s="3" t="s">
        <v>50</v>
      </c>
      <c r="H20" s="4">
        <v>23803</v>
      </c>
      <c r="I20" s="3" t="s">
        <v>52</v>
      </c>
      <c r="J20" s="3" t="s">
        <v>263</v>
      </c>
      <c r="K20" s="5" t="s">
        <v>264</v>
      </c>
      <c r="L20" s="5" t="s">
        <v>265</v>
      </c>
      <c r="M20" s="3" t="s">
        <v>258</v>
      </c>
      <c r="N20" s="3" t="s">
        <v>52</v>
      </c>
      <c r="O20" s="3" t="s">
        <v>52</v>
      </c>
      <c r="P20" s="3" t="s">
        <v>52</v>
      </c>
      <c r="Q20" s="3" t="s">
        <v>55</v>
      </c>
      <c r="R20" s="3" t="s">
        <v>52</v>
      </c>
      <c r="S20" s="3" t="s">
        <v>266</v>
      </c>
      <c r="T20" s="3" t="s">
        <v>56</v>
      </c>
      <c r="U20" s="3" t="s">
        <v>57</v>
      </c>
      <c r="V20" s="3" t="s">
        <v>267</v>
      </c>
      <c r="W20" s="3" t="s">
        <v>52</v>
      </c>
      <c r="X20" s="3" t="s">
        <v>52</v>
      </c>
      <c r="Y20" s="3" t="s">
        <v>52</v>
      </c>
      <c r="Z20" s="3" t="s">
        <v>52</v>
      </c>
      <c r="AA20" s="3" t="s">
        <v>52</v>
      </c>
      <c r="AB20" s="3" t="s">
        <v>59</v>
      </c>
      <c r="AD20" s="7" t="b">
        <v>0</v>
      </c>
      <c r="AE20" s="7" t="b">
        <v>0</v>
      </c>
      <c r="AF20" s="7" t="b">
        <v>0</v>
      </c>
      <c r="AG20" s="3" t="s">
        <v>143</v>
      </c>
      <c r="AH20" s="3" t="s">
        <v>52</v>
      </c>
      <c r="AI20" s="3" t="s">
        <v>52</v>
      </c>
      <c r="AJ20" s="3" t="s">
        <v>52</v>
      </c>
      <c r="AK20" s="3" t="s">
        <v>52</v>
      </c>
      <c r="AL20" s="7" t="b">
        <v>0</v>
      </c>
      <c r="AM20" s="3" t="s">
        <v>217</v>
      </c>
      <c r="AO20" s="2">
        <v>0</v>
      </c>
      <c r="AQ20" s="3" t="s">
        <v>52</v>
      </c>
      <c r="AR20" s="3" t="s">
        <v>52</v>
      </c>
      <c r="AS20" s="3" t="s">
        <v>52</v>
      </c>
      <c r="AT20" s="3" t="s">
        <v>52</v>
      </c>
      <c r="AU20" s="9"/>
      <c r="AV20" s="9"/>
      <c r="AW20" s="9">
        <v>1</v>
      </c>
      <c r="AX20" t="str">
        <f t="shared" si="0"/>
        <v>('CROUCHE', 'LATISHIA', 'DISTRICT 19', '20 W BANK STREET SUITE # 4', 'PETERSBURG', 'VA', '23803', '', '(804) 704-1830', '3/23/1965', '10/17/2023', 'Tues &amp; Thurs 9:30am-11:00am', '', '', '', 'Certificate', '', 'icrouche@19csb.com', 'Black', 'Female', '185-56-6914', '', '', '', '', '', 'SECULAR', '', 'FALSE', 'FALSE', 'FALSE', 'Active', '', '', '', '', 'FALSE', 'March', '', '0', '', '', '', '', '', '', '', '1'),</v>
      </c>
    </row>
    <row r="21" spans="1:50" ht="25.5" x14ac:dyDescent="0.25">
      <c r="A21" s="2">
        <v>1298</v>
      </c>
      <c r="B21" s="3" t="s">
        <v>269</v>
      </c>
      <c r="C21" s="3" t="s">
        <v>270</v>
      </c>
      <c r="D21" s="3" t="s">
        <v>271</v>
      </c>
      <c r="E21" s="3" t="s">
        <v>272</v>
      </c>
      <c r="F21" s="3" t="s">
        <v>273</v>
      </c>
      <c r="G21" s="3" t="s">
        <v>50</v>
      </c>
      <c r="H21" s="4">
        <v>23666</v>
      </c>
      <c r="I21" s="3" t="s">
        <v>274</v>
      </c>
      <c r="J21" s="3" t="s">
        <v>52</v>
      </c>
      <c r="K21" s="5" t="s">
        <v>52</v>
      </c>
      <c r="L21" s="5" t="s">
        <v>52</v>
      </c>
      <c r="M21" s="3" t="s">
        <v>268</v>
      </c>
      <c r="N21" s="3" t="s">
        <v>52</v>
      </c>
      <c r="O21" s="3" t="s">
        <v>52</v>
      </c>
      <c r="P21" s="3" t="s">
        <v>52</v>
      </c>
      <c r="Q21" s="3" t="s">
        <v>52</v>
      </c>
      <c r="R21" s="3" t="s">
        <v>52</v>
      </c>
      <c r="S21" s="3" t="s">
        <v>52</v>
      </c>
      <c r="T21" s="3" t="s">
        <v>275</v>
      </c>
      <c r="U21" s="3" t="s">
        <v>89</v>
      </c>
      <c r="V21" s="3" t="s">
        <v>52</v>
      </c>
      <c r="W21" s="3" t="s">
        <v>52</v>
      </c>
      <c r="X21" s="3" t="s">
        <v>52</v>
      </c>
      <c r="Y21" s="3" t="s">
        <v>52</v>
      </c>
      <c r="Z21" s="3" t="s">
        <v>52</v>
      </c>
      <c r="AA21" s="3" t="s">
        <v>52</v>
      </c>
      <c r="AB21" s="3" t="s">
        <v>75</v>
      </c>
      <c r="AD21" s="7" t="b">
        <v>0</v>
      </c>
      <c r="AE21" s="7" t="b">
        <v>0</v>
      </c>
      <c r="AF21" s="7" t="b">
        <v>0</v>
      </c>
      <c r="AG21" s="3" t="s">
        <v>60</v>
      </c>
      <c r="AH21" s="3" t="s">
        <v>52</v>
      </c>
      <c r="AI21" s="3" t="s">
        <v>276</v>
      </c>
      <c r="AJ21" s="3" t="s">
        <v>52</v>
      </c>
      <c r="AK21" s="3" t="s">
        <v>52</v>
      </c>
      <c r="AL21" s="7" t="b">
        <v>0</v>
      </c>
      <c r="AM21" s="3" t="s">
        <v>52</v>
      </c>
      <c r="AO21" s="2">
        <v>0</v>
      </c>
      <c r="AQ21" s="3" t="s">
        <v>52</v>
      </c>
      <c r="AR21" s="3" t="s">
        <v>52</v>
      </c>
      <c r="AS21" s="3" t="s">
        <v>277</v>
      </c>
      <c r="AT21" s="3" t="s">
        <v>52</v>
      </c>
      <c r="AU21" s="9"/>
      <c r="AV21" s="9"/>
      <c r="AW21" s="9">
        <v>1</v>
      </c>
      <c r="AX21" t="str">
        <f t="shared" si="0"/>
        <v>('CRUZ-LOPEZ', 'HECTOR', 'MINISTRY-SPANISH BIBLE STUDY', '40 GREENWELL DRIVE', 'HAMPTON', 'VA', '23666', '(757) 344-0091', '', '', '', 'Tue Week 2 &amp; 5', '', '', '', '', '', '', 'Hispanic', 'Male', '', '', '', '', '', '', 'MINISTRY', '', 'FALSE', 'FALSE', 'FALSE', 'COVID INACTIVE', '', '7th DAY ADVENTIST', '', '', 'FALSE', '', '', '0', '', '', '', '7TH DAY ADVENTIST', '', '', '', '1'),</v>
      </c>
    </row>
    <row r="22" spans="1:50" ht="25.5" x14ac:dyDescent="0.25">
      <c r="A22" s="2">
        <v>1299</v>
      </c>
      <c r="B22" s="3" t="s">
        <v>279</v>
      </c>
      <c r="C22" s="3" t="s">
        <v>280</v>
      </c>
      <c r="D22" s="3" t="s">
        <v>66</v>
      </c>
      <c r="E22" s="3" t="s">
        <v>281</v>
      </c>
      <c r="F22" s="3" t="s">
        <v>282</v>
      </c>
      <c r="G22" s="3" t="s">
        <v>50</v>
      </c>
      <c r="H22" s="4">
        <v>23860</v>
      </c>
      <c r="I22" s="3" t="s">
        <v>283</v>
      </c>
      <c r="J22" s="3" t="s">
        <v>52</v>
      </c>
      <c r="K22" s="5" t="s">
        <v>284</v>
      </c>
      <c r="L22" s="5" t="s">
        <v>285</v>
      </c>
      <c r="M22" s="3" t="s">
        <v>278</v>
      </c>
      <c r="N22" s="3" t="s">
        <v>52</v>
      </c>
      <c r="O22" s="3" t="s">
        <v>286</v>
      </c>
      <c r="P22" s="3" t="s">
        <v>52</v>
      </c>
      <c r="Q22" s="3" t="s">
        <v>52</v>
      </c>
      <c r="R22" s="3" t="s">
        <v>52</v>
      </c>
      <c r="S22" s="3" t="s">
        <v>52</v>
      </c>
      <c r="T22" s="3" t="s">
        <v>103</v>
      </c>
      <c r="U22" s="3" t="s">
        <v>89</v>
      </c>
      <c r="V22" s="3" t="s">
        <v>287</v>
      </c>
      <c r="W22" s="3" t="s">
        <v>52</v>
      </c>
      <c r="X22" s="3" t="s">
        <v>288</v>
      </c>
      <c r="Y22" s="3" t="s">
        <v>289</v>
      </c>
      <c r="Z22" s="3" t="s">
        <v>290</v>
      </c>
      <c r="AA22" s="3" t="s">
        <v>52</v>
      </c>
      <c r="AB22" s="3" t="s">
        <v>75</v>
      </c>
      <c r="AD22" s="7" t="b">
        <v>0</v>
      </c>
      <c r="AE22" s="7" t="b">
        <v>0</v>
      </c>
      <c r="AF22" s="7" t="b">
        <v>0</v>
      </c>
      <c r="AG22" s="3" t="s">
        <v>60</v>
      </c>
      <c r="AH22" s="3" t="s">
        <v>52</v>
      </c>
      <c r="AI22" s="3" t="s">
        <v>291</v>
      </c>
      <c r="AJ22" s="3" t="s">
        <v>52</v>
      </c>
      <c r="AK22" s="3" t="s">
        <v>52</v>
      </c>
      <c r="AL22" s="7" t="b">
        <v>0</v>
      </c>
      <c r="AM22" s="3" t="s">
        <v>52</v>
      </c>
      <c r="AO22" s="2">
        <v>0</v>
      </c>
      <c r="AQ22" s="3" t="s">
        <v>52</v>
      </c>
      <c r="AR22" s="3" t="s">
        <v>52</v>
      </c>
      <c r="AS22" s="3" t="s">
        <v>291</v>
      </c>
      <c r="AT22" s="3" t="s">
        <v>52</v>
      </c>
      <c r="AU22" s="9"/>
      <c r="AV22" s="9"/>
      <c r="AW22" s="9">
        <v>1</v>
      </c>
      <c r="AX22" t="str">
        <f t="shared" si="0"/>
        <v>('CUNNINGHAM', 'CLINTON', 'MINISTRY-BIBLE STUDY', '2709 PORTSMOUTH STREET', 'HOPEWELL', 'VA', '23860', '(804) 452-2380', '', '12/5/1934', '8/14/2007', 'Thu 9:00-10:30am Week 2/4 HU2B', '', 'West Hopewell Presbyterian', '', '', '', '', 'White', 'Male', '083-26-8386', '', '2602 Wise Street, Hopewell, VA 23860', 'Pastor John Lindsay', '(804) 458-4008', '', 'MINISTRY', '', 'FALSE', 'FALSE', 'FALSE', 'COVID INACTIVE', '', 'PRESBYTERIAN', '', '', 'FALSE', '', '', '0', '', '', '', 'PRESBYTERIAN', '', '', '', '1'),</v>
      </c>
    </row>
    <row r="23" spans="1:50" ht="38.25" x14ac:dyDescent="0.25">
      <c r="A23" s="2">
        <v>1300</v>
      </c>
      <c r="B23" s="3" t="s">
        <v>279</v>
      </c>
      <c r="C23" s="3" t="s">
        <v>293</v>
      </c>
      <c r="D23" s="3" t="s">
        <v>66</v>
      </c>
      <c r="E23" s="3" t="s">
        <v>281</v>
      </c>
      <c r="F23" s="3" t="s">
        <v>282</v>
      </c>
      <c r="G23" s="3" t="s">
        <v>50</v>
      </c>
      <c r="H23" s="4">
        <v>23860</v>
      </c>
      <c r="I23" s="3" t="s">
        <v>283</v>
      </c>
      <c r="J23" s="3" t="s">
        <v>294</v>
      </c>
      <c r="K23" s="5" t="s">
        <v>295</v>
      </c>
      <c r="L23" s="5" t="s">
        <v>296</v>
      </c>
      <c r="M23" s="3" t="s">
        <v>292</v>
      </c>
      <c r="N23" s="3" t="s">
        <v>52</v>
      </c>
      <c r="O23" s="3" t="s">
        <v>286</v>
      </c>
      <c r="P23" s="3" t="s">
        <v>52</v>
      </c>
      <c r="Q23" s="3" t="s">
        <v>52</v>
      </c>
      <c r="R23" s="3" t="s">
        <v>52</v>
      </c>
      <c r="S23" s="3" t="s">
        <v>297</v>
      </c>
      <c r="T23" s="3" t="s">
        <v>103</v>
      </c>
      <c r="U23" s="3" t="s">
        <v>57</v>
      </c>
      <c r="V23" s="3" t="s">
        <v>298</v>
      </c>
      <c r="W23" s="3" t="s">
        <v>52</v>
      </c>
      <c r="X23" s="3" t="s">
        <v>288</v>
      </c>
      <c r="Y23" s="3" t="s">
        <v>289</v>
      </c>
      <c r="Z23" s="3" t="s">
        <v>290</v>
      </c>
      <c r="AA23" s="3" t="s">
        <v>52</v>
      </c>
      <c r="AB23" s="3" t="s">
        <v>75</v>
      </c>
      <c r="AD23" s="7" t="b">
        <v>0</v>
      </c>
      <c r="AE23" s="7" t="b">
        <v>0</v>
      </c>
      <c r="AF23" s="7" t="b">
        <v>0</v>
      </c>
      <c r="AG23" s="3" t="s">
        <v>60</v>
      </c>
      <c r="AH23" s="3" t="s">
        <v>52</v>
      </c>
      <c r="AI23" s="3" t="s">
        <v>291</v>
      </c>
      <c r="AJ23" s="3" t="s">
        <v>226</v>
      </c>
      <c r="AK23" s="3" t="s">
        <v>299</v>
      </c>
      <c r="AL23" s="7" t="b">
        <v>1</v>
      </c>
      <c r="AM23" s="3" t="s">
        <v>176</v>
      </c>
      <c r="AO23" s="2">
        <v>0</v>
      </c>
      <c r="AQ23" s="3" t="s">
        <v>52</v>
      </c>
      <c r="AR23" s="3" t="s">
        <v>52</v>
      </c>
      <c r="AS23" s="3" t="s">
        <v>291</v>
      </c>
      <c r="AT23" s="3" t="s">
        <v>52</v>
      </c>
      <c r="AU23" s="9"/>
      <c r="AV23" s="9"/>
      <c r="AW23" s="9">
        <v>1</v>
      </c>
      <c r="AX23" t="str">
        <f t="shared" si="0"/>
        <v>('CUNNINGHAM', 'LINDA SUE', 'MINISTRY-BIBLE STUDY', '2709 PORTSMOUTH STREET', 'HOPEWELL', 'VA', '23860', '(804) 452-2380', '(757) 605-5801', '7/23/1949', '11/10/2016', 'Thu 9:00-10:30am Week 2/4 HU1A', '', 'West Hopewell Presbyterian', '', '', '', 'lindadizyb@comcast.net', 'White', 'Female', '420-70-3868', '', '2602 Wise Street, Hopewell, VA 23860', 'Pastor John Lindsay', '(804) 458-4008', '', 'MINISTRY', '', 'FALSE', 'FALSE', 'FALSE', 'COVID INACTIVE', '', 'PRESBYTERIAN', 'ON CALL', 'Thursday (2nd &amp; 4th) 0900-1030 hours', 'TRUE', 'November', '', '0', '', '', '', 'PRESBYTERIAN', '', '', '', '1'),</v>
      </c>
    </row>
    <row r="24" spans="1:50" ht="25.5" x14ac:dyDescent="0.25">
      <c r="A24" s="2">
        <v>1394</v>
      </c>
      <c r="B24" s="3" t="s">
        <v>300</v>
      </c>
      <c r="C24" s="3" t="s">
        <v>301</v>
      </c>
      <c r="D24" s="3" t="s">
        <v>302</v>
      </c>
      <c r="E24" s="3" t="s">
        <v>303</v>
      </c>
      <c r="F24" s="3" t="s">
        <v>304</v>
      </c>
      <c r="G24" s="3" t="s">
        <v>50</v>
      </c>
      <c r="H24" s="4">
        <v>22546</v>
      </c>
      <c r="I24" s="3" t="s">
        <v>52</v>
      </c>
      <c r="J24" s="3" t="s">
        <v>305</v>
      </c>
      <c r="K24" s="5" t="s">
        <v>306</v>
      </c>
      <c r="L24" s="5" t="s">
        <v>171</v>
      </c>
      <c r="M24" s="3" t="s">
        <v>162</v>
      </c>
      <c r="N24" s="3" t="s">
        <v>52</v>
      </c>
      <c r="O24" s="3" t="s">
        <v>52</v>
      </c>
      <c r="P24" s="3" t="s">
        <v>52</v>
      </c>
      <c r="Q24" s="3" t="s">
        <v>172</v>
      </c>
      <c r="R24" s="3" t="s">
        <v>52</v>
      </c>
      <c r="S24" s="3" t="s">
        <v>307</v>
      </c>
      <c r="T24" s="3" t="s">
        <v>308</v>
      </c>
      <c r="U24" s="3" t="s">
        <v>57</v>
      </c>
      <c r="V24" s="3" t="s">
        <v>309</v>
      </c>
      <c r="W24" s="3" t="s">
        <v>52</v>
      </c>
      <c r="X24" s="3" t="s">
        <v>52</v>
      </c>
      <c r="Y24" s="3" t="s">
        <v>52</v>
      </c>
      <c r="Z24" s="3" t="s">
        <v>52</v>
      </c>
      <c r="AA24" s="3" t="s">
        <v>52</v>
      </c>
      <c r="AB24" s="3" t="s">
        <v>175</v>
      </c>
      <c r="AD24" s="7" t="b">
        <v>0</v>
      </c>
      <c r="AE24" s="7" t="b">
        <v>0</v>
      </c>
      <c r="AF24" s="7" t="b">
        <v>0</v>
      </c>
      <c r="AG24" s="3" t="s">
        <v>91</v>
      </c>
      <c r="AH24" s="3" t="s">
        <v>52</v>
      </c>
      <c r="AI24" s="3" t="s">
        <v>52</v>
      </c>
      <c r="AJ24" s="3" t="s">
        <v>52</v>
      </c>
      <c r="AK24" s="3" t="s">
        <v>52</v>
      </c>
      <c r="AL24" s="7" t="b">
        <v>0</v>
      </c>
      <c r="AM24" s="3" t="s">
        <v>131</v>
      </c>
      <c r="AO24" s="2">
        <v>0</v>
      </c>
      <c r="AQ24" s="3" t="s">
        <v>52</v>
      </c>
      <c r="AR24" s="3" t="s">
        <v>52</v>
      </c>
      <c r="AS24" s="3" t="s">
        <v>52</v>
      </c>
      <c r="AT24" s="3" t="s">
        <v>52</v>
      </c>
      <c r="AU24" s="9"/>
      <c r="AV24" s="9"/>
      <c r="AW24" s="9">
        <v>1</v>
      </c>
      <c r="AX24" t="str">
        <f t="shared" si="0"/>
        <v>('DARRINGTON', 'HAILEY', 'INTERN/ CASE MANAGER', '7248 STATEMAN BLVD', 'RUTNER GLEN', 'VA', '22546', '', '(804) 982-6882', '5/11/2003', '1/23/2024', 'Tuesday &amp; Thursday 8:00am-4:30pm', '', '', '', 'MOU', '', 'hdar9699@students.vsu.edu', 'Black/White', 'Female', '225-97-0132', '', '', '', '', '', 'INTERN', '', 'FALSE', 'FALSE', 'FALSE', 'ACTIVE', '', '', '', '', 'FALSE', 'May', '', '0', '', '', '', '', '', '', '', '1'),</v>
      </c>
    </row>
    <row r="25" spans="1:50" ht="25.5" x14ac:dyDescent="0.25">
      <c r="A25" s="2">
        <v>1301</v>
      </c>
      <c r="B25" s="3" t="s">
        <v>311</v>
      </c>
      <c r="C25" s="3" t="s">
        <v>312</v>
      </c>
      <c r="D25" s="3" t="s">
        <v>66</v>
      </c>
      <c r="E25" s="3" t="s">
        <v>313</v>
      </c>
      <c r="F25" s="3" t="s">
        <v>314</v>
      </c>
      <c r="G25" s="3" t="s">
        <v>50</v>
      </c>
      <c r="H25" s="4">
        <v>23831</v>
      </c>
      <c r="I25" s="3" t="s">
        <v>315</v>
      </c>
      <c r="J25" s="3" t="s">
        <v>52</v>
      </c>
      <c r="K25" s="5" t="s">
        <v>52</v>
      </c>
      <c r="L25" s="5" t="s">
        <v>52</v>
      </c>
      <c r="M25" s="3" t="s">
        <v>310</v>
      </c>
      <c r="N25" s="3" t="s">
        <v>52</v>
      </c>
      <c r="O25" s="3" t="s">
        <v>52</v>
      </c>
      <c r="P25" s="3" t="s">
        <v>52</v>
      </c>
      <c r="Q25" s="3" t="s">
        <v>52</v>
      </c>
      <c r="R25" s="3" t="s">
        <v>52</v>
      </c>
      <c r="S25" s="3" t="s">
        <v>52</v>
      </c>
      <c r="T25" s="3" t="s">
        <v>52</v>
      </c>
      <c r="U25" s="3" t="s">
        <v>89</v>
      </c>
      <c r="V25" s="3" t="s">
        <v>52</v>
      </c>
      <c r="W25" s="3" t="s">
        <v>52</v>
      </c>
      <c r="X25" s="3" t="s">
        <v>52</v>
      </c>
      <c r="Y25" s="3" t="s">
        <v>52</v>
      </c>
      <c r="Z25" s="3" t="s">
        <v>52</v>
      </c>
      <c r="AA25" s="3" t="s">
        <v>52</v>
      </c>
      <c r="AB25" s="3" t="s">
        <v>75</v>
      </c>
      <c r="AD25" s="7" t="b">
        <v>0</v>
      </c>
      <c r="AE25" s="7" t="b">
        <v>0</v>
      </c>
      <c r="AF25" s="7" t="b">
        <v>0</v>
      </c>
      <c r="AG25" s="3" t="s">
        <v>60</v>
      </c>
      <c r="AH25" s="3" t="s">
        <v>52</v>
      </c>
      <c r="AI25" s="3" t="s">
        <v>52</v>
      </c>
      <c r="AJ25" s="3" t="s">
        <v>52</v>
      </c>
      <c r="AK25" s="3" t="s">
        <v>52</v>
      </c>
      <c r="AL25" s="7" t="b">
        <v>0</v>
      </c>
      <c r="AM25" s="3" t="s">
        <v>52</v>
      </c>
      <c r="AO25" s="2">
        <v>0</v>
      </c>
      <c r="AQ25" s="3" t="s">
        <v>52</v>
      </c>
      <c r="AR25" s="3" t="s">
        <v>52</v>
      </c>
      <c r="AS25" s="3" t="s">
        <v>52</v>
      </c>
      <c r="AT25" s="3" t="s">
        <v>52</v>
      </c>
      <c r="AU25" s="9"/>
      <c r="AV25" s="9"/>
      <c r="AW25" s="9">
        <v>1</v>
      </c>
      <c r="AX25" t="str">
        <f t="shared" si="0"/>
        <v>('DAVID', 'CHRIS', 'MINISTRY-BIBLE STUDY', '111 NOTTINGHAM DRIVE', 'COLONIAL HEIGHTS', 'VA', '23831', '(804) 943-1046', '', '', '', 'Tue 7:30-9:00pm HU5', '', '', '', '', '', '', '', 'Male', '', '', '', '', '', '', 'MINISTRY', '', 'FALSE', 'FALSE', 'FALSE', 'COVID INACTIVE', '', '', '', '', 'FALSE', '', '', '0', '', '', '', '', '', '', '', '1'),</v>
      </c>
    </row>
    <row r="26" spans="1:50" ht="25.5" x14ac:dyDescent="0.25">
      <c r="A26" s="2">
        <v>1302</v>
      </c>
      <c r="B26" s="3" t="s">
        <v>316</v>
      </c>
      <c r="C26" s="3" t="s">
        <v>317</v>
      </c>
      <c r="D26" s="3" t="s">
        <v>148</v>
      </c>
      <c r="E26" s="3" t="s">
        <v>318</v>
      </c>
      <c r="F26" s="3" t="s">
        <v>319</v>
      </c>
      <c r="G26" s="3" t="s">
        <v>50</v>
      </c>
      <c r="H26" s="4">
        <v>23803</v>
      </c>
      <c r="I26" s="3" t="s">
        <v>320</v>
      </c>
      <c r="J26" s="3" t="s">
        <v>320</v>
      </c>
      <c r="K26" s="5" t="s">
        <v>321</v>
      </c>
      <c r="L26" s="5" t="s">
        <v>322</v>
      </c>
      <c r="M26" s="3" t="s">
        <v>249</v>
      </c>
      <c r="N26" s="3" t="s">
        <v>52</v>
      </c>
      <c r="O26" s="3" t="s">
        <v>52</v>
      </c>
      <c r="P26" s="3" t="s">
        <v>52</v>
      </c>
      <c r="Q26" s="3" t="s">
        <v>52</v>
      </c>
      <c r="R26" s="3" t="s">
        <v>52</v>
      </c>
      <c r="S26" s="3" t="s">
        <v>52</v>
      </c>
      <c r="T26" s="3" t="s">
        <v>56</v>
      </c>
      <c r="U26" s="3" t="s">
        <v>89</v>
      </c>
      <c r="V26" s="3" t="s">
        <v>323</v>
      </c>
      <c r="W26" s="3" t="s">
        <v>52</v>
      </c>
      <c r="X26" s="3" t="s">
        <v>52</v>
      </c>
      <c r="Y26" s="3" t="s">
        <v>52</v>
      </c>
      <c r="Z26" s="3" t="s">
        <v>52</v>
      </c>
      <c r="AA26" s="3" t="s">
        <v>52</v>
      </c>
      <c r="AB26" s="3" t="s">
        <v>75</v>
      </c>
      <c r="AD26" s="7" t="b">
        <v>0</v>
      </c>
      <c r="AE26" s="7" t="b">
        <v>0</v>
      </c>
      <c r="AF26" s="7" t="b">
        <v>0</v>
      </c>
      <c r="AG26" s="3" t="s">
        <v>60</v>
      </c>
      <c r="AH26" s="3" t="s">
        <v>52</v>
      </c>
      <c r="AI26" s="3" t="s">
        <v>52</v>
      </c>
      <c r="AJ26" s="3" t="s">
        <v>52</v>
      </c>
      <c r="AK26" s="3" t="s">
        <v>52</v>
      </c>
      <c r="AL26" s="7" t="b">
        <v>0</v>
      </c>
      <c r="AM26" s="3" t="s">
        <v>52</v>
      </c>
      <c r="AO26" s="2">
        <v>0</v>
      </c>
      <c r="AQ26" s="3" t="s">
        <v>52</v>
      </c>
      <c r="AR26" s="3" t="s">
        <v>52</v>
      </c>
      <c r="AS26" s="3" t="s">
        <v>52</v>
      </c>
      <c r="AT26" s="3" t="s">
        <v>52</v>
      </c>
      <c r="AU26" s="9"/>
      <c r="AV26" s="9"/>
      <c r="AW26" s="9">
        <v>1</v>
      </c>
      <c r="AX26" t="str">
        <f t="shared" si="0"/>
        <v>('DAVIS', 'THOMAS', 'MINISTRY-SUNDAY SERVICE', '20901 TRUTH DRIVE', 'ETTRICK', 'VA', '23803', '(804) 520-2599', '(804) 520-2599', '4/13/1939', '11/19/1997', 'Sun 9:30-10:45am Week 2 HU2A', '', '', '', '', '', '', 'Black', 'Male', '229-50-4156', '', '', '', '', '', 'MINISTRY', '', 'FALSE', 'FALSE', 'FALSE', 'COVID INACTIVE', '', '', '', '', 'FALSE', '', '', '0', '', '', '', '', '', '', '', '1'),</v>
      </c>
    </row>
    <row r="27" spans="1:50" ht="25.5" x14ac:dyDescent="0.25">
      <c r="A27" s="2">
        <v>1223</v>
      </c>
      <c r="B27" s="3" t="s">
        <v>324</v>
      </c>
      <c r="C27" s="3" t="s">
        <v>325</v>
      </c>
      <c r="D27" s="3" t="s">
        <v>96</v>
      </c>
      <c r="E27" s="3" t="s">
        <v>326</v>
      </c>
      <c r="F27" s="3" t="s">
        <v>282</v>
      </c>
      <c r="G27" s="3" t="s">
        <v>50</v>
      </c>
      <c r="H27" s="4">
        <v>23860</v>
      </c>
      <c r="I27" s="3" t="s">
        <v>327</v>
      </c>
      <c r="J27" s="3" t="s">
        <v>52</v>
      </c>
      <c r="K27" s="5" t="s">
        <v>328</v>
      </c>
      <c r="L27" s="5" t="s">
        <v>329</v>
      </c>
      <c r="M27" s="3" t="s">
        <v>93</v>
      </c>
      <c r="N27" s="3" t="s">
        <v>52</v>
      </c>
      <c r="O27" s="3" t="s">
        <v>52</v>
      </c>
      <c r="P27" s="3" t="s">
        <v>52</v>
      </c>
      <c r="Q27" s="3" t="s">
        <v>102</v>
      </c>
      <c r="R27" s="3" t="s">
        <v>52</v>
      </c>
      <c r="S27" s="3" t="s">
        <v>52</v>
      </c>
      <c r="T27" s="3" t="s">
        <v>56</v>
      </c>
      <c r="U27" s="3" t="s">
        <v>57</v>
      </c>
      <c r="V27" s="3" t="s">
        <v>330</v>
      </c>
      <c r="W27" s="3" t="s">
        <v>52</v>
      </c>
      <c r="X27" s="3" t="s">
        <v>52</v>
      </c>
      <c r="Y27" s="3" t="s">
        <v>52</v>
      </c>
      <c r="Z27" s="3" t="s">
        <v>52</v>
      </c>
      <c r="AA27" s="3" t="s">
        <v>52</v>
      </c>
      <c r="AB27" s="3" t="s">
        <v>59</v>
      </c>
      <c r="AD27" s="7" t="b">
        <v>1</v>
      </c>
      <c r="AE27" s="7" t="b">
        <v>1</v>
      </c>
      <c r="AF27" s="7" t="b">
        <v>0</v>
      </c>
      <c r="AG27" s="3" t="s">
        <v>60</v>
      </c>
      <c r="AH27" s="3" t="s">
        <v>52</v>
      </c>
      <c r="AI27" s="3" t="s">
        <v>52</v>
      </c>
      <c r="AJ27" s="3" t="s">
        <v>52</v>
      </c>
      <c r="AK27" s="3" t="s">
        <v>52</v>
      </c>
      <c r="AL27" s="7" t="b">
        <v>0</v>
      </c>
      <c r="AM27" s="3" t="s">
        <v>62</v>
      </c>
      <c r="AO27" s="2">
        <v>0</v>
      </c>
      <c r="AQ27" s="3" t="s">
        <v>76</v>
      </c>
      <c r="AR27" s="3" t="s">
        <v>77</v>
      </c>
      <c r="AS27" s="3" t="s">
        <v>52</v>
      </c>
      <c r="AT27" s="3" t="s">
        <v>52</v>
      </c>
      <c r="AU27" s="9"/>
      <c r="AV27" s="9"/>
      <c r="AW27" s="9">
        <v>1</v>
      </c>
      <c r="AX27" t="str">
        <f t="shared" si="0"/>
        <v>('DEAN-FORD', 'FRANCINE', 'NA MEETINGS', '346 RED OAK DRIVE', 'HOPEWELL', 'VA', '23860', '(804) 479-9692', '', '8/20/1959', '12/29/2016', '1st or 3rd Wed 7:30pm-8:30pm', '', '', '', 'Life Experiences', '', '', 'Black', 'Female', '230-04-8498', '', '', '', '', '', 'SECULAR', '', 'TRUE', 'TRUE', 'FALSE', 'COVID INACTIVE', '', '', '', '', 'FALSE', 'August', '', '0', '', 'Main Jail', 'HU6', '', '', '', '', '1'),</v>
      </c>
    </row>
    <row r="28" spans="1:50" ht="25.5" x14ac:dyDescent="0.25">
      <c r="A28" s="2">
        <v>1303</v>
      </c>
      <c r="B28" s="3" t="s">
        <v>332</v>
      </c>
      <c r="C28" s="3" t="s">
        <v>333</v>
      </c>
      <c r="D28" s="3" t="s">
        <v>334</v>
      </c>
      <c r="E28" s="3" t="s">
        <v>335</v>
      </c>
      <c r="F28" s="3" t="s">
        <v>150</v>
      </c>
      <c r="G28" s="3" t="s">
        <v>50</v>
      </c>
      <c r="H28" s="4">
        <v>23875</v>
      </c>
      <c r="I28" s="3" t="s">
        <v>336</v>
      </c>
      <c r="J28" s="3" t="s">
        <v>337</v>
      </c>
      <c r="K28" s="5" t="s">
        <v>52</v>
      </c>
      <c r="L28" s="5" t="s">
        <v>52</v>
      </c>
      <c r="M28" s="3" t="s">
        <v>331</v>
      </c>
      <c r="N28" s="3" t="s">
        <v>52</v>
      </c>
      <c r="O28" s="3" t="s">
        <v>52</v>
      </c>
      <c r="P28" s="3" t="s">
        <v>52</v>
      </c>
      <c r="Q28" s="3" t="s">
        <v>52</v>
      </c>
      <c r="R28" s="3" t="s">
        <v>52</v>
      </c>
      <c r="S28" s="3" t="s">
        <v>52</v>
      </c>
      <c r="T28" s="3" t="s">
        <v>103</v>
      </c>
      <c r="U28" s="3" t="s">
        <v>89</v>
      </c>
      <c r="V28" s="3" t="s">
        <v>52</v>
      </c>
      <c r="W28" s="3" t="s">
        <v>52</v>
      </c>
      <c r="X28" s="3" t="s">
        <v>52</v>
      </c>
      <c r="Y28" s="3" t="s">
        <v>52</v>
      </c>
      <c r="Z28" s="3" t="s">
        <v>52</v>
      </c>
      <c r="AA28" s="3" t="s">
        <v>52</v>
      </c>
      <c r="AB28" s="3" t="s">
        <v>75</v>
      </c>
      <c r="AD28" s="7" t="b">
        <v>0</v>
      </c>
      <c r="AE28" s="7" t="b">
        <v>0</v>
      </c>
      <c r="AF28" s="7" t="b">
        <v>0</v>
      </c>
      <c r="AG28" s="3" t="s">
        <v>60</v>
      </c>
      <c r="AH28" s="3" t="s">
        <v>52</v>
      </c>
      <c r="AI28" s="3" t="s">
        <v>52</v>
      </c>
      <c r="AJ28" s="3" t="s">
        <v>52</v>
      </c>
      <c r="AK28" s="3" t="s">
        <v>52</v>
      </c>
      <c r="AL28" s="7" t="b">
        <v>0</v>
      </c>
      <c r="AM28" s="3" t="s">
        <v>52</v>
      </c>
      <c r="AO28" s="2">
        <v>0</v>
      </c>
      <c r="AQ28" s="3" t="s">
        <v>52</v>
      </c>
      <c r="AR28" s="3" t="s">
        <v>52</v>
      </c>
      <c r="AS28" s="3" t="s">
        <v>52</v>
      </c>
      <c r="AT28" s="3" t="s">
        <v>52</v>
      </c>
      <c r="AU28" s="9"/>
      <c r="AV28" s="9"/>
      <c r="AW28" s="9">
        <v>1</v>
      </c>
      <c r="AX28" t="str">
        <f t="shared" si="0"/>
        <v>('DEMBY', 'JOE', 'MINISTRY-SUNDAY SERVICE/TRAUMA HEALING', '5550 VARGO LANE', 'PRINCE GEORGE', 'VA', '23875', '(804) 541-7133', '(804) 586-1698', '', '', 'Sun 2:00-3:45pm Week 1 &amp;4; Week Days 6:00-8:00pm Week 3', '', '', '', '', '', '', 'White', 'Male', '', '', '', '', '', '', 'MINISTRY', '', 'FALSE', 'FALSE', 'FALSE', 'COVID INACTIVE', '', '', '', '', 'FALSE', '', '', '0', '', '', '', '', '', '', '', '1'),</v>
      </c>
    </row>
    <row r="29" spans="1:50" ht="25.5" x14ac:dyDescent="0.25">
      <c r="A29" s="2">
        <v>1304</v>
      </c>
      <c r="B29" s="3" t="s">
        <v>339</v>
      </c>
      <c r="C29" s="3" t="s">
        <v>340</v>
      </c>
      <c r="D29" s="3" t="s">
        <v>148</v>
      </c>
      <c r="E29" s="3" t="s">
        <v>341</v>
      </c>
      <c r="F29" s="3" t="s">
        <v>150</v>
      </c>
      <c r="G29" s="3" t="s">
        <v>50</v>
      </c>
      <c r="H29" s="4">
        <v>23875</v>
      </c>
      <c r="I29" s="3" t="s">
        <v>342</v>
      </c>
      <c r="J29" s="3" t="s">
        <v>52</v>
      </c>
      <c r="K29" s="5" t="s">
        <v>52</v>
      </c>
      <c r="L29" s="5" t="s">
        <v>52</v>
      </c>
      <c r="M29" s="3" t="s">
        <v>338</v>
      </c>
      <c r="N29" s="3" t="s">
        <v>52</v>
      </c>
      <c r="O29" s="3" t="s">
        <v>52</v>
      </c>
      <c r="P29" s="3" t="s">
        <v>52</v>
      </c>
      <c r="Q29" s="3" t="s">
        <v>52</v>
      </c>
      <c r="R29" s="3" t="s">
        <v>52</v>
      </c>
      <c r="S29" s="3" t="s">
        <v>52</v>
      </c>
      <c r="T29" s="3" t="s">
        <v>52</v>
      </c>
      <c r="U29" s="3" t="s">
        <v>57</v>
      </c>
      <c r="V29" s="3" t="s">
        <v>52</v>
      </c>
      <c r="W29" s="3" t="s">
        <v>52</v>
      </c>
      <c r="X29" s="3" t="s">
        <v>52</v>
      </c>
      <c r="Y29" s="3" t="s">
        <v>52</v>
      </c>
      <c r="Z29" s="3" t="s">
        <v>52</v>
      </c>
      <c r="AA29" s="3" t="s">
        <v>52</v>
      </c>
      <c r="AB29" s="3" t="s">
        <v>75</v>
      </c>
      <c r="AD29" s="7" t="b">
        <v>0</v>
      </c>
      <c r="AE29" s="7" t="b">
        <v>0</v>
      </c>
      <c r="AF29" s="7" t="b">
        <v>0</v>
      </c>
      <c r="AG29" s="3" t="s">
        <v>60</v>
      </c>
      <c r="AH29" s="3" t="s">
        <v>52</v>
      </c>
      <c r="AI29" s="3" t="s">
        <v>52</v>
      </c>
      <c r="AJ29" s="3" t="s">
        <v>52</v>
      </c>
      <c r="AK29" s="3" t="s">
        <v>52</v>
      </c>
      <c r="AL29" s="7" t="b">
        <v>0</v>
      </c>
      <c r="AM29" s="3" t="s">
        <v>52</v>
      </c>
      <c r="AO29" s="2">
        <v>0</v>
      </c>
      <c r="AQ29" s="3" t="s">
        <v>52</v>
      </c>
      <c r="AR29" s="3" t="s">
        <v>52</v>
      </c>
      <c r="AS29" s="3" t="s">
        <v>52</v>
      </c>
      <c r="AT29" s="3" t="s">
        <v>52</v>
      </c>
      <c r="AU29" s="9"/>
      <c r="AV29" s="9"/>
      <c r="AW29" s="9">
        <v>1</v>
      </c>
      <c r="AX29" t="str">
        <f t="shared" si="0"/>
        <v>('DOOLEY', 'DOROTHY', 'MINISTRY-SUNDAY SERVICE', '6848 HEARTHSIDE DRIVE', 'PRINCE GEORGE', 'VA', '23875', '(804) 586-0731', '', '', '', 'Sun 8:00-9:15am Week 4 HU1A', '', '', '', '', '', '', '', 'Female', '', '', '', '', '', '', 'MINISTRY', '', 'FALSE', 'FALSE', 'FALSE', 'COVID INACTIVE', '', '', '', '', 'FALSE', '', '', '0', '', '', '', '', '', '', '', '1'),</v>
      </c>
    </row>
    <row r="30" spans="1:50" ht="25.5" x14ac:dyDescent="0.25">
      <c r="A30" s="2">
        <v>1305</v>
      </c>
      <c r="B30" s="3" t="s">
        <v>343</v>
      </c>
      <c r="C30" s="3" t="s">
        <v>344</v>
      </c>
      <c r="D30" s="3" t="s">
        <v>75</v>
      </c>
      <c r="E30" s="3" t="s">
        <v>345</v>
      </c>
      <c r="F30" s="3" t="s">
        <v>150</v>
      </c>
      <c r="G30" s="3" t="s">
        <v>50</v>
      </c>
      <c r="H30" s="4">
        <v>23875</v>
      </c>
      <c r="I30" s="3" t="s">
        <v>346</v>
      </c>
      <c r="J30" s="3" t="s">
        <v>347</v>
      </c>
      <c r="K30" s="5" t="s">
        <v>52</v>
      </c>
      <c r="L30" s="5" t="s">
        <v>52</v>
      </c>
      <c r="M30" s="3" t="s">
        <v>78</v>
      </c>
      <c r="N30" s="3" t="s">
        <v>52</v>
      </c>
      <c r="O30" s="3" t="s">
        <v>52</v>
      </c>
      <c r="P30" s="3" t="s">
        <v>52</v>
      </c>
      <c r="Q30" s="3" t="s">
        <v>52</v>
      </c>
      <c r="R30" s="3" t="s">
        <v>52</v>
      </c>
      <c r="S30" s="3" t="s">
        <v>52</v>
      </c>
      <c r="T30" s="3" t="s">
        <v>275</v>
      </c>
      <c r="U30" s="3" t="s">
        <v>89</v>
      </c>
      <c r="V30" s="3" t="s">
        <v>52</v>
      </c>
      <c r="W30" s="3" t="s">
        <v>52</v>
      </c>
      <c r="X30" s="3" t="s">
        <v>52</v>
      </c>
      <c r="Y30" s="3" t="s">
        <v>52</v>
      </c>
      <c r="Z30" s="3" t="s">
        <v>52</v>
      </c>
      <c r="AA30" s="3" t="s">
        <v>52</v>
      </c>
      <c r="AB30" s="3" t="s">
        <v>75</v>
      </c>
      <c r="AD30" s="7" t="b">
        <v>0</v>
      </c>
      <c r="AE30" s="7" t="b">
        <v>0</v>
      </c>
      <c r="AF30" s="7" t="b">
        <v>0</v>
      </c>
      <c r="AG30" s="3" t="s">
        <v>60</v>
      </c>
      <c r="AH30" s="3" t="s">
        <v>52</v>
      </c>
      <c r="AI30" s="3" t="s">
        <v>52</v>
      </c>
      <c r="AJ30" s="3" t="s">
        <v>52</v>
      </c>
      <c r="AK30" s="3" t="s">
        <v>52</v>
      </c>
      <c r="AL30" s="7" t="b">
        <v>0</v>
      </c>
      <c r="AM30" s="3" t="s">
        <v>52</v>
      </c>
      <c r="AO30" s="2">
        <v>0</v>
      </c>
      <c r="AQ30" s="3" t="s">
        <v>52</v>
      </c>
      <c r="AR30" s="3" t="s">
        <v>52</v>
      </c>
      <c r="AS30" s="3" t="s">
        <v>52</v>
      </c>
      <c r="AT30" s="3" t="s">
        <v>52</v>
      </c>
      <c r="AU30" s="9"/>
      <c r="AV30" s="9"/>
      <c r="AW30" s="9">
        <v>1</v>
      </c>
      <c r="AX30" t="str">
        <f t="shared" si="0"/>
        <v>('DUMOND', 'MARTIN', 'MINISTRY', '6433 SAWMILL ROAD', 'PRINCE GEORGE', 'VA', '23875', '(786) 303-3848', '(573) 528-8719', '', '', 'Varies', '', '', '', '', '', '', 'Hispanic', 'Male', '', '', '', '', '', '', 'MINISTRY', '', 'FALSE', 'FALSE', 'FALSE', 'COVID INACTIVE', '', '', '', '', 'FALSE', '', '', '0', '', '', '', '', '', '', '', '1'),</v>
      </c>
    </row>
    <row r="31" spans="1:50" ht="25.5" x14ac:dyDescent="0.25">
      <c r="A31" s="2">
        <v>1286</v>
      </c>
      <c r="B31" s="3" t="s">
        <v>348</v>
      </c>
      <c r="C31" s="3" t="s">
        <v>349</v>
      </c>
      <c r="D31" s="3" t="s">
        <v>350</v>
      </c>
      <c r="E31" s="3" t="s">
        <v>351</v>
      </c>
      <c r="F31" s="3" t="s">
        <v>68</v>
      </c>
      <c r="G31" s="3" t="s">
        <v>50</v>
      </c>
      <c r="H31" s="4">
        <v>23803</v>
      </c>
      <c r="I31" s="3" t="s">
        <v>352</v>
      </c>
      <c r="J31" s="3" t="s">
        <v>52</v>
      </c>
      <c r="K31" s="5" t="s">
        <v>353</v>
      </c>
      <c r="L31" s="5" t="s">
        <v>354</v>
      </c>
      <c r="M31" s="3" t="s">
        <v>78</v>
      </c>
      <c r="N31" s="3" t="s">
        <v>52</v>
      </c>
      <c r="O31" s="3" t="s">
        <v>52</v>
      </c>
      <c r="P31" s="3" t="s">
        <v>52</v>
      </c>
      <c r="Q31" s="3" t="s">
        <v>52</v>
      </c>
      <c r="R31" s="3" t="s">
        <v>52</v>
      </c>
      <c r="S31" s="3" t="s">
        <v>355</v>
      </c>
      <c r="T31" s="3" t="s">
        <v>56</v>
      </c>
      <c r="U31" s="3" t="s">
        <v>57</v>
      </c>
      <c r="V31" s="3" t="s">
        <v>356</v>
      </c>
      <c r="W31" s="3" t="s">
        <v>52</v>
      </c>
      <c r="X31" s="3" t="s">
        <v>52</v>
      </c>
      <c r="Y31" s="3" t="s">
        <v>52</v>
      </c>
      <c r="Z31" s="3" t="s">
        <v>52</v>
      </c>
      <c r="AA31" s="3" t="s">
        <v>52</v>
      </c>
      <c r="AB31" s="3" t="s">
        <v>59</v>
      </c>
      <c r="AD31" s="7" t="b">
        <v>0</v>
      </c>
      <c r="AE31" s="7" t="b">
        <v>0</v>
      </c>
      <c r="AF31" s="7" t="b">
        <v>0</v>
      </c>
      <c r="AG31" s="3" t="s">
        <v>60</v>
      </c>
      <c r="AH31" s="3" t="s">
        <v>52</v>
      </c>
      <c r="AI31" s="3" t="s">
        <v>52</v>
      </c>
      <c r="AJ31" s="3" t="s">
        <v>52</v>
      </c>
      <c r="AK31" s="3" t="s">
        <v>52</v>
      </c>
      <c r="AL31" s="7" t="b">
        <v>0</v>
      </c>
      <c r="AM31" s="3" t="s">
        <v>237</v>
      </c>
      <c r="AO31" s="2">
        <v>0</v>
      </c>
      <c r="AQ31" s="3" t="s">
        <v>52</v>
      </c>
      <c r="AR31" s="3" t="s">
        <v>52</v>
      </c>
      <c r="AS31" s="3" t="s">
        <v>52</v>
      </c>
      <c r="AT31" s="3" t="s">
        <v>52</v>
      </c>
      <c r="AU31" s="9"/>
      <c r="AV31" s="9"/>
      <c r="AW31" s="9">
        <v>1</v>
      </c>
      <c r="AX31" t="str">
        <f t="shared" si="0"/>
        <v>('EVANS', 'KELLY', 'REENTRY JOB FOR LIFE', '219 E. BANK STREET APT # 136', 'PETERSBURG', 'VA', '23803', '(804) 982-0671', '', '1/23/1971', '7/17/2019', 'Varies', '', '', '', '', '', 'plannerevent@yahoo.com', 'Black', 'Female', '228-27-7021', '', '', '', '', '', 'SECULAR', '', 'FALSE', 'FALSE', 'FALSE', 'COVID INACTIVE', '', '', '', '', 'FALSE', 'January', '', '0', '', '', '', '', '', '', '', '1'),</v>
      </c>
    </row>
    <row r="32" spans="1:50" ht="25.5" x14ac:dyDescent="0.25">
      <c r="A32" s="2">
        <v>1306</v>
      </c>
      <c r="B32" s="3" t="s">
        <v>358</v>
      </c>
      <c r="C32" s="3" t="s">
        <v>359</v>
      </c>
      <c r="D32" s="3" t="s">
        <v>360</v>
      </c>
      <c r="E32" s="3" t="s">
        <v>361</v>
      </c>
      <c r="F32" s="3" t="s">
        <v>362</v>
      </c>
      <c r="G32" s="3" t="s">
        <v>50</v>
      </c>
      <c r="H32" s="4">
        <v>23842</v>
      </c>
      <c r="I32" s="3" t="s">
        <v>363</v>
      </c>
      <c r="J32" s="3" t="s">
        <v>364</v>
      </c>
      <c r="K32" s="5" t="s">
        <v>52</v>
      </c>
      <c r="L32" s="5" t="s">
        <v>52</v>
      </c>
      <c r="M32" s="3" t="s">
        <v>357</v>
      </c>
      <c r="N32" s="3" t="s">
        <v>52</v>
      </c>
      <c r="O32" s="3" t="s">
        <v>52</v>
      </c>
      <c r="P32" s="3" t="s">
        <v>52</v>
      </c>
      <c r="Q32" s="3" t="s">
        <v>52</v>
      </c>
      <c r="R32" s="3" t="s">
        <v>52</v>
      </c>
      <c r="S32" s="3" t="s">
        <v>365</v>
      </c>
      <c r="T32" s="3" t="s">
        <v>103</v>
      </c>
      <c r="U32" s="3" t="s">
        <v>57</v>
      </c>
      <c r="V32" s="3" t="s">
        <v>52</v>
      </c>
      <c r="W32" s="3" t="s">
        <v>52</v>
      </c>
      <c r="X32" s="3" t="s">
        <v>52</v>
      </c>
      <c r="Y32" s="3" t="s">
        <v>52</v>
      </c>
      <c r="Z32" s="3" t="s">
        <v>52</v>
      </c>
      <c r="AA32" s="3" t="s">
        <v>52</v>
      </c>
      <c r="AB32" s="3" t="s">
        <v>75</v>
      </c>
      <c r="AD32" s="7" t="b">
        <v>0</v>
      </c>
      <c r="AE32" s="7" t="b">
        <v>0</v>
      </c>
      <c r="AF32" s="7" t="b">
        <v>0</v>
      </c>
      <c r="AG32" s="3" t="s">
        <v>60</v>
      </c>
      <c r="AH32" s="3" t="s">
        <v>52</v>
      </c>
      <c r="AI32" s="3" t="s">
        <v>52</v>
      </c>
      <c r="AJ32" s="3" t="s">
        <v>52</v>
      </c>
      <c r="AK32" s="3" t="s">
        <v>52</v>
      </c>
      <c r="AL32" s="7" t="b">
        <v>0</v>
      </c>
      <c r="AM32" s="3" t="s">
        <v>52</v>
      </c>
      <c r="AO32" s="2">
        <v>0</v>
      </c>
      <c r="AQ32" s="3" t="s">
        <v>52</v>
      </c>
      <c r="AR32" s="3" t="s">
        <v>52</v>
      </c>
      <c r="AS32" s="3" t="s">
        <v>52</v>
      </c>
      <c r="AT32" s="3" t="s">
        <v>52</v>
      </c>
      <c r="AU32" s="9"/>
      <c r="AV32" s="9"/>
      <c r="AW32" s="9">
        <v>1</v>
      </c>
      <c r="AX32" t="str">
        <f t="shared" si="0"/>
        <v>('FARKAS', 'GERALDINE (GERRIE)', 'MINISTRY-BIBLE STUDY/TRAUMA HEALING GROUP', '4826 TATUM ROAD', 'DISPUTANTA', 'VA', '23842', '(804) 892-2625', '(804) 887-0627', '', '', 'Wed 9:00-11:00am HU1', '', '', '', '', '', 'redhead254@juno.com', 'White', 'Female', '', '', '', '', '', '', 'MINISTRY', '', 'FALSE', 'FALSE', 'FALSE', 'COVID INACTIVE', '', '', '', '', 'FALSE', '', '', '0', '', '', '', '', '', '', '', '1'),</v>
      </c>
    </row>
    <row r="33" spans="1:50" ht="25.5" x14ac:dyDescent="0.25">
      <c r="A33" s="2">
        <v>1307</v>
      </c>
      <c r="B33" s="3" t="s">
        <v>367</v>
      </c>
      <c r="C33" s="3" t="s">
        <v>368</v>
      </c>
      <c r="D33" s="3" t="s">
        <v>66</v>
      </c>
      <c r="E33" s="3" t="s">
        <v>369</v>
      </c>
      <c r="F33" s="3" t="s">
        <v>124</v>
      </c>
      <c r="G33" s="3" t="s">
        <v>50</v>
      </c>
      <c r="H33" s="4">
        <v>23831</v>
      </c>
      <c r="I33" s="3" t="s">
        <v>370</v>
      </c>
      <c r="J33" s="3" t="s">
        <v>52</v>
      </c>
      <c r="K33" s="5" t="s">
        <v>371</v>
      </c>
      <c r="L33" s="5" t="s">
        <v>372</v>
      </c>
      <c r="M33" s="3" t="s">
        <v>366</v>
      </c>
      <c r="N33" s="3" t="s">
        <v>52</v>
      </c>
      <c r="O33" s="3" t="s">
        <v>373</v>
      </c>
      <c r="P33" s="3" t="s">
        <v>52</v>
      </c>
      <c r="Q33" s="3" t="s">
        <v>52</v>
      </c>
      <c r="R33" s="3" t="s">
        <v>52</v>
      </c>
      <c r="S33" s="3" t="s">
        <v>374</v>
      </c>
      <c r="T33" s="3" t="s">
        <v>56</v>
      </c>
      <c r="U33" s="3" t="s">
        <v>89</v>
      </c>
      <c r="V33" s="3" t="s">
        <v>375</v>
      </c>
      <c r="W33" s="3" t="s">
        <v>52</v>
      </c>
      <c r="X33" s="3" t="s">
        <v>52</v>
      </c>
      <c r="Y33" s="3" t="s">
        <v>376</v>
      </c>
      <c r="Z33" s="3" t="s">
        <v>377</v>
      </c>
      <c r="AA33" s="3" t="s">
        <v>52</v>
      </c>
      <c r="AB33" s="3" t="s">
        <v>75</v>
      </c>
      <c r="AD33" s="7" t="b">
        <v>0</v>
      </c>
      <c r="AE33" s="7" t="b">
        <v>0</v>
      </c>
      <c r="AF33" s="7" t="b">
        <v>0</v>
      </c>
      <c r="AG33" s="3" t="s">
        <v>60</v>
      </c>
      <c r="AH33" s="3" t="s">
        <v>52</v>
      </c>
      <c r="AI33" s="3" t="s">
        <v>378</v>
      </c>
      <c r="AJ33" s="3" t="s">
        <v>52</v>
      </c>
      <c r="AK33" s="3" t="s">
        <v>52</v>
      </c>
      <c r="AL33" s="7" t="b">
        <v>0</v>
      </c>
      <c r="AM33" s="3" t="s">
        <v>379</v>
      </c>
      <c r="AO33" s="2">
        <v>0</v>
      </c>
      <c r="AQ33" s="3" t="s">
        <v>52</v>
      </c>
      <c r="AR33" s="3" t="s">
        <v>52</v>
      </c>
      <c r="AS33" s="3" t="s">
        <v>380</v>
      </c>
      <c r="AT33" s="3" t="s">
        <v>52</v>
      </c>
      <c r="AU33" s="9"/>
      <c r="AV33" s="9"/>
      <c r="AW33" s="9">
        <v>1</v>
      </c>
      <c r="AX33" t="str">
        <f t="shared" si="0"/>
        <v>('FIGGS', 'JAMINE', 'MINISTRY-BIBLE STUDY', '12619 CHESTER GROVE CIRCLE', 'CHESTER', 'VA', '23831', '(804) 304-7930', '', '9/17/1973', '3/28/2018', 'Wed  (2nd &amp; 4th) 7:30-8:30pm HU2', '', 'Christian Life Center', '', '', '', 'jamine.figgs@christianlife.org', 'Black', 'Male', '559-91-5132', '', '', 'Denise Lechaney', '(804)748-2224', '', 'MINISTRY', '', 'FALSE', 'FALSE', 'FALSE', 'COVID INACTIVE', '', 'Non-denominational', '', '', 'FALSE', 'September', '', '0', '', '', '', 'Nondenominational', '', '', '', '1'),</v>
      </c>
    </row>
    <row r="34" spans="1:50" ht="25.5" x14ac:dyDescent="0.25">
      <c r="A34" s="2">
        <v>1253</v>
      </c>
      <c r="B34" s="3" t="s">
        <v>382</v>
      </c>
      <c r="C34" s="3" t="s">
        <v>383</v>
      </c>
      <c r="D34" s="3" t="s">
        <v>96</v>
      </c>
      <c r="E34" s="3" t="s">
        <v>384</v>
      </c>
      <c r="F34" s="3" t="s">
        <v>282</v>
      </c>
      <c r="G34" s="3" t="s">
        <v>50</v>
      </c>
      <c r="H34" s="4">
        <v>23860</v>
      </c>
      <c r="I34" s="3" t="s">
        <v>385</v>
      </c>
      <c r="J34" s="3" t="s">
        <v>52</v>
      </c>
      <c r="K34" s="5" t="s">
        <v>386</v>
      </c>
      <c r="L34" s="5" t="s">
        <v>387</v>
      </c>
      <c r="M34" s="3" t="s">
        <v>381</v>
      </c>
      <c r="N34" s="3" t="s">
        <v>52</v>
      </c>
      <c r="O34" s="3" t="s">
        <v>52</v>
      </c>
      <c r="P34" s="3" t="s">
        <v>52</v>
      </c>
      <c r="Q34" s="3" t="s">
        <v>102</v>
      </c>
      <c r="R34" s="3" t="s">
        <v>52</v>
      </c>
      <c r="S34" s="3" t="s">
        <v>52</v>
      </c>
      <c r="T34" s="3" t="s">
        <v>56</v>
      </c>
      <c r="U34" s="3" t="s">
        <v>89</v>
      </c>
      <c r="V34" s="3" t="s">
        <v>388</v>
      </c>
      <c r="W34" s="3" t="s">
        <v>52</v>
      </c>
      <c r="X34" s="3" t="s">
        <v>52</v>
      </c>
      <c r="Y34" s="3" t="s">
        <v>52</v>
      </c>
      <c r="Z34" s="3" t="s">
        <v>52</v>
      </c>
      <c r="AA34" s="3" t="s">
        <v>52</v>
      </c>
      <c r="AB34" s="3" t="s">
        <v>59</v>
      </c>
      <c r="AD34" s="7" t="b">
        <v>0</v>
      </c>
      <c r="AE34" s="7" t="b">
        <v>0</v>
      </c>
      <c r="AF34" s="7" t="b">
        <v>0</v>
      </c>
      <c r="AG34" s="3" t="s">
        <v>60</v>
      </c>
      <c r="AH34" s="3" t="s">
        <v>52</v>
      </c>
      <c r="AI34" s="3" t="s">
        <v>52</v>
      </c>
      <c r="AJ34" s="3" t="s">
        <v>52</v>
      </c>
      <c r="AK34" s="3" t="s">
        <v>52</v>
      </c>
      <c r="AL34" s="7" t="b">
        <v>0</v>
      </c>
      <c r="AM34" s="3" t="s">
        <v>62</v>
      </c>
      <c r="AO34" s="2">
        <v>0</v>
      </c>
      <c r="AQ34" s="3" t="s">
        <v>76</v>
      </c>
      <c r="AR34" s="3" t="s">
        <v>77</v>
      </c>
      <c r="AS34" s="3" t="s">
        <v>52</v>
      </c>
      <c r="AT34" s="3" t="s">
        <v>52</v>
      </c>
      <c r="AU34" s="9"/>
      <c r="AV34" s="9"/>
      <c r="AW34" s="9">
        <v>1</v>
      </c>
      <c r="AX34" t="str">
        <f t="shared" si="0"/>
        <v>('FLOWERS', 'MATTHEW', 'NA MEETINGS', '1113 PIERCE STREET', 'HOPEWELL', 'VA', '23860', '(804) 943-7270', '', '8/24/1950', '1/26/2018', '1st &amp; 3rd Wed or 2nd &amp; 4th Sun 7:30pm-8:30pm', '', '', '', 'Life Experiences', '', '', 'Black', 'Male', '225-76-1846', '', '', '', '', '', 'SECULAR', '', 'FALSE', 'FALSE', 'FALSE', 'COVID INACTIVE', '', '', '', '', 'FALSE', 'August', '', '0', '', 'Main Jail', 'HU6', '', '', '', '', '1'),</v>
      </c>
    </row>
    <row r="35" spans="1:50" ht="25.5" x14ac:dyDescent="0.25">
      <c r="A35" s="2">
        <v>1308</v>
      </c>
      <c r="B35" s="3" t="s">
        <v>390</v>
      </c>
      <c r="C35" s="3" t="s">
        <v>391</v>
      </c>
      <c r="D35" s="3" t="s">
        <v>66</v>
      </c>
      <c r="E35" s="3" t="s">
        <v>392</v>
      </c>
      <c r="F35" s="3" t="s">
        <v>393</v>
      </c>
      <c r="G35" s="3" t="s">
        <v>50</v>
      </c>
      <c r="H35" s="4">
        <v>23841</v>
      </c>
      <c r="I35" s="3" t="s">
        <v>394</v>
      </c>
      <c r="J35" s="3" t="s">
        <v>394</v>
      </c>
      <c r="K35" s="5" t="s">
        <v>395</v>
      </c>
      <c r="L35" s="5" t="s">
        <v>396</v>
      </c>
      <c r="M35" s="3" t="s">
        <v>389</v>
      </c>
      <c r="N35" s="3" t="s">
        <v>52</v>
      </c>
      <c r="O35" s="3" t="s">
        <v>397</v>
      </c>
      <c r="P35" s="3" t="s">
        <v>52</v>
      </c>
      <c r="Q35" s="3" t="s">
        <v>52</v>
      </c>
      <c r="R35" s="3" t="s">
        <v>52</v>
      </c>
      <c r="S35" s="3" t="s">
        <v>398</v>
      </c>
      <c r="T35" s="3" t="s">
        <v>103</v>
      </c>
      <c r="U35" s="3" t="s">
        <v>89</v>
      </c>
      <c r="V35" s="3" t="s">
        <v>399</v>
      </c>
      <c r="W35" s="3" t="s">
        <v>52</v>
      </c>
      <c r="X35" s="3" t="s">
        <v>52</v>
      </c>
      <c r="Y35" s="3" t="s">
        <v>400</v>
      </c>
      <c r="Z35" s="3" t="s">
        <v>401</v>
      </c>
      <c r="AA35" s="3" t="s">
        <v>52</v>
      </c>
      <c r="AB35" s="3" t="s">
        <v>75</v>
      </c>
      <c r="AD35" s="7" t="b">
        <v>0</v>
      </c>
      <c r="AE35" s="7" t="b">
        <v>0</v>
      </c>
      <c r="AF35" s="7" t="b">
        <v>0</v>
      </c>
      <c r="AG35" s="3" t="s">
        <v>60</v>
      </c>
      <c r="AH35" s="3" t="s">
        <v>52</v>
      </c>
      <c r="AI35" s="3" t="s">
        <v>402</v>
      </c>
      <c r="AJ35" s="3" t="s">
        <v>52</v>
      </c>
      <c r="AK35" s="3" t="s">
        <v>52</v>
      </c>
      <c r="AL35" s="7" t="b">
        <v>0</v>
      </c>
      <c r="AM35" s="3" t="s">
        <v>237</v>
      </c>
      <c r="AO35" s="2">
        <v>0</v>
      </c>
      <c r="AQ35" s="3" t="s">
        <v>52</v>
      </c>
      <c r="AR35" s="3" t="s">
        <v>52</v>
      </c>
      <c r="AS35" s="3" t="s">
        <v>402</v>
      </c>
      <c r="AT35" s="3" t="s">
        <v>52</v>
      </c>
      <c r="AU35" s="9"/>
      <c r="AV35" s="9"/>
      <c r="AW35" s="9">
        <v>1</v>
      </c>
      <c r="AX35" t="str">
        <f t="shared" si="0"/>
        <v>('FLOYD II', 'ALWYN', 'MINISTRY-BIBLE STUDY', 'P. O. BOX 622', 'DINWIDDIE', 'VA', '23841', '(804) 469-4262', '(804) 469-4262', '1/6/1967', '3/21/2018', 'Mon 7:00-9:00pm HU5', '', 'Covenant Bible Fellowship', '', '', '', 'alwynfloyd@gmail.com', 'White', 'Male', '231-23-7893', '', '', 'Chuck Clawson`', '(804)731-2224', '', 'MINISTRY', '', 'FALSE', 'FALSE', 'FALSE', 'COVID INACTIVE', '', 'Christian', '', '', 'FALSE', 'January', '', '0', '', '', '', 'Christian', '', '', '', '1'),</v>
      </c>
    </row>
    <row r="36" spans="1:50" ht="25.5" x14ac:dyDescent="0.25">
      <c r="A36" s="2">
        <v>1309</v>
      </c>
      <c r="B36" s="3" t="s">
        <v>404</v>
      </c>
      <c r="C36" s="3" t="s">
        <v>405</v>
      </c>
      <c r="D36" s="3" t="s">
        <v>66</v>
      </c>
      <c r="E36" s="3" t="s">
        <v>406</v>
      </c>
      <c r="F36" s="3" t="s">
        <v>136</v>
      </c>
      <c r="G36" s="3" t="s">
        <v>50</v>
      </c>
      <c r="H36" s="4">
        <v>23237</v>
      </c>
      <c r="I36" s="3" t="s">
        <v>407</v>
      </c>
      <c r="J36" s="3" t="s">
        <v>407</v>
      </c>
      <c r="K36" s="5" t="s">
        <v>52</v>
      </c>
      <c r="L36" s="5" t="s">
        <v>52</v>
      </c>
      <c r="M36" s="3" t="s">
        <v>403</v>
      </c>
      <c r="N36" s="3" t="s">
        <v>52</v>
      </c>
      <c r="O36" s="3" t="s">
        <v>52</v>
      </c>
      <c r="P36" s="3" t="s">
        <v>52</v>
      </c>
      <c r="Q36" s="3" t="s">
        <v>52</v>
      </c>
      <c r="R36" s="3" t="s">
        <v>52</v>
      </c>
      <c r="S36" s="3" t="s">
        <v>52</v>
      </c>
      <c r="T36" s="3" t="s">
        <v>52</v>
      </c>
      <c r="U36" s="3" t="s">
        <v>52</v>
      </c>
      <c r="V36" s="3" t="s">
        <v>52</v>
      </c>
      <c r="W36" s="3" t="s">
        <v>52</v>
      </c>
      <c r="X36" s="3" t="s">
        <v>52</v>
      </c>
      <c r="Y36" s="3" t="s">
        <v>52</v>
      </c>
      <c r="Z36" s="3" t="s">
        <v>52</v>
      </c>
      <c r="AA36" s="3" t="s">
        <v>52</v>
      </c>
      <c r="AB36" s="3" t="s">
        <v>75</v>
      </c>
      <c r="AD36" s="7" t="b">
        <v>0</v>
      </c>
      <c r="AE36" s="7" t="b">
        <v>0</v>
      </c>
      <c r="AF36" s="7" t="b">
        <v>0</v>
      </c>
      <c r="AG36" s="3" t="s">
        <v>60</v>
      </c>
      <c r="AH36" s="3" t="s">
        <v>52</v>
      </c>
      <c r="AI36" s="3" t="s">
        <v>52</v>
      </c>
      <c r="AJ36" s="3" t="s">
        <v>52</v>
      </c>
      <c r="AK36" s="3" t="s">
        <v>52</v>
      </c>
      <c r="AL36" s="7" t="b">
        <v>0</v>
      </c>
      <c r="AM36" s="3" t="s">
        <v>52</v>
      </c>
      <c r="AO36" s="2">
        <v>0</v>
      </c>
      <c r="AQ36" s="3" t="s">
        <v>52</v>
      </c>
      <c r="AR36" s="3" t="s">
        <v>52</v>
      </c>
      <c r="AS36" s="3" t="s">
        <v>52</v>
      </c>
      <c r="AT36" s="3" t="s">
        <v>52</v>
      </c>
      <c r="AU36" s="9"/>
      <c r="AV36" s="9"/>
      <c r="AW36" s="9">
        <v>1</v>
      </c>
      <c r="AX36" t="str">
        <f t="shared" si="0"/>
        <v>('FREDMONSKY', 'GREG', 'MINISTRY-BIBLE STUDY', '4740 COCHISE TRAIL', 'NORTH CHESTERFIELD', 'VA', '23237', '(912) 980-4742', '(912) 980-4742', '', '', 'Wed 7:30-9:00pm HU2', '', '', '', '', '', '', '', '', '', '', '', '', '', '', 'MINISTRY', '', 'FALSE', 'FALSE', 'FALSE', 'COVID INACTIVE', '', '', '', '', 'FALSE', '', '', '0', '', '', '', '', '', '', '', '1'),</v>
      </c>
    </row>
    <row r="37" spans="1:50" ht="25.5" x14ac:dyDescent="0.25">
      <c r="A37" s="2">
        <v>1310</v>
      </c>
      <c r="B37" s="3" t="s">
        <v>409</v>
      </c>
      <c r="C37" s="3" t="s">
        <v>410</v>
      </c>
      <c r="D37" s="3" t="s">
        <v>411</v>
      </c>
      <c r="E37" s="3" t="s">
        <v>412</v>
      </c>
      <c r="F37" s="3" t="s">
        <v>413</v>
      </c>
      <c r="G37" s="3" t="s">
        <v>50</v>
      </c>
      <c r="H37" s="4">
        <v>23002</v>
      </c>
      <c r="I37" s="3" t="s">
        <v>414</v>
      </c>
      <c r="J37" s="3" t="s">
        <v>52</v>
      </c>
      <c r="K37" s="5" t="s">
        <v>415</v>
      </c>
      <c r="L37" s="5" t="s">
        <v>396</v>
      </c>
      <c r="M37" s="3" t="s">
        <v>408</v>
      </c>
      <c r="N37" s="3" t="s">
        <v>52</v>
      </c>
      <c r="O37" s="3" t="s">
        <v>416</v>
      </c>
      <c r="P37" s="3" t="s">
        <v>52</v>
      </c>
      <c r="Q37" s="3" t="s">
        <v>52</v>
      </c>
      <c r="R37" s="3" t="s">
        <v>52</v>
      </c>
      <c r="S37" s="3" t="s">
        <v>417</v>
      </c>
      <c r="T37" s="3" t="s">
        <v>103</v>
      </c>
      <c r="U37" s="3" t="s">
        <v>89</v>
      </c>
      <c r="V37" s="3" t="s">
        <v>418</v>
      </c>
      <c r="W37" s="3" t="s">
        <v>52</v>
      </c>
      <c r="X37" s="3" t="s">
        <v>52</v>
      </c>
      <c r="Y37" s="3" t="s">
        <v>419</v>
      </c>
      <c r="Z37" s="3" t="s">
        <v>52</v>
      </c>
      <c r="AA37" s="3" t="s">
        <v>52</v>
      </c>
      <c r="AB37" s="3" t="s">
        <v>75</v>
      </c>
      <c r="AD37" s="7" t="b">
        <v>0</v>
      </c>
      <c r="AE37" s="7" t="b">
        <v>0</v>
      </c>
      <c r="AF37" s="7" t="b">
        <v>0</v>
      </c>
      <c r="AG37" s="3" t="s">
        <v>60</v>
      </c>
      <c r="AH37" s="3" t="s">
        <v>52</v>
      </c>
      <c r="AI37" s="3" t="s">
        <v>52</v>
      </c>
      <c r="AJ37" s="3" t="s">
        <v>160</v>
      </c>
      <c r="AK37" s="3" t="s">
        <v>420</v>
      </c>
      <c r="AL37" s="7" t="b">
        <v>1</v>
      </c>
      <c r="AM37" s="3" t="s">
        <v>237</v>
      </c>
      <c r="AO37" s="2">
        <v>0</v>
      </c>
      <c r="AQ37" s="3" t="s">
        <v>52</v>
      </c>
      <c r="AR37" s="3" t="s">
        <v>52</v>
      </c>
      <c r="AS37" s="3" t="s">
        <v>52</v>
      </c>
      <c r="AT37" s="3" t="s">
        <v>52</v>
      </c>
      <c r="AU37" s="9"/>
      <c r="AV37" s="9"/>
      <c r="AW37" s="9">
        <v>1</v>
      </c>
      <c r="AX37" t="str">
        <f t="shared" si="0"/>
        <v>('FREEMAN', 'DUANE', 'MINISTRY-SUNDAY SERVICE/ADMINISTRATIVE', '5620 WEST CREEK ROAD', 'AMELIA', 'VA', '23002', '(804) 477-4668', '', '1/19/1956', '3/21/2018', 'Sun 9:30-10:45am (1st &amp; 5th)-HU2A; Wed 8:00am-2:00pm', '', 'Hope Chapel Four Square', '', '', '', 'duanefreeman52@yahoo.com', 'White', 'Male', '229-86-0050', '', '', 'Dave Muckel', '', '', 'MINISTRY', '', 'FALSE', 'FALSE', 'FALSE', 'COVID INACTIVE', '', '', 'ADMINISTRATIVE', 'BIBLE DISTRIBUTION', 'TRUE', 'January', '', '0', '', '', '', '', '', '', '', '1'),</v>
      </c>
    </row>
    <row r="38" spans="1:50" ht="25.5" x14ac:dyDescent="0.25">
      <c r="A38" s="2">
        <v>231</v>
      </c>
      <c r="B38" s="3" t="s">
        <v>422</v>
      </c>
      <c r="C38" s="3" t="s">
        <v>423</v>
      </c>
      <c r="D38" s="3" t="s">
        <v>96</v>
      </c>
      <c r="E38" s="3" t="s">
        <v>424</v>
      </c>
      <c r="F38" s="3" t="s">
        <v>68</v>
      </c>
      <c r="G38" s="3" t="s">
        <v>50</v>
      </c>
      <c r="H38" s="4">
        <v>23805</v>
      </c>
      <c r="I38" s="3" t="s">
        <v>425</v>
      </c>
      <c r="J38" s="3" t="s">
        <v>52</v>
      </c>
      <c r="K38" s="5" t="s">
        <v>426</v>
      </c>
      <c r="L38" s="5" t="s">
        <v>427</v>
      </c>
      <c r="M38" s="3" t="s">
        <v>421</v>
      </c>
      <c r="N38" s="3" t="s">
        <v>52</v>
      </c>
      <c r="O38" s="3" t="s">
        <v>74</v>
      </c>
      <c r="P38" s="3" t="s">
        <v>428</v>
      </c>
      <c r="Q38" s="3" t="s">
        <v>102</v>
      </c>
      <c r="R38" s="3" t="s">
        <v>52</v>
      </c>
      <c r="S38" s="3" t="s">
        <v>52</v>
      </c>
      <c r="T38" s="3" t="s">
        <v>103</v>
      </c>
      <c r="U38" s="3" t="s">
        <v>89</v>
      </c>
      <c r="V38" s="3" t="s">
        <v>429</v>
      </c>
      <c r="W38" s="3" t="s">
        <v>430</v>
      </c>
      <c r="X38" s="3" t="s">
        <v>52</v>
      </c>
      <c r="Y38" s="3" t="s">
        <v>52</v>
      </c>
      <c r="Z38" s="3" t="s">
        <v>52</v>
      </c>
      <c r="AA38" s="3" t="s">
        <v>52</v>
      </c>
      <c r="AB38" s="3" t="s">
        <v>59</v>
      </c>
      <c r="AC38" s="6">
        <v>39970</v>
      </c>
      <c r="AD38" s="7" t="b">
        <v>1</v>
      </c>
      <c r="AE38" s="7" t="b">
        <v>1</v>
      </c>
      <c r="AF38" s="7" t="b">
        <v>0</v>
      </c>
      <c r="AG38" s="3" t="s">
        <v>60</v>
      </c>
      <c r="AH38" s="3" t="s">
        <v>52</v>
      </c>
      <c r="AI38" s="3" t="s">
        <v>52</v>
      </c>
      <c r="AJ38" s="3" t="s">
        <v>52</v>
      </c>
      <c r="AK38" s="3" t="s">
        <v>52</v>
      </c>
      <c r="AL38" s="7" t="b">
        <v>0</v>
      </c>
      <c r="AM38" s="3" t="s">
        <v>217</v>
      </c>
      <c r="AO38" s="2">
        <v>23</v>
      </c>
      <c r="AP38" s="6">
        <v>41508</v>
      </c>
      <c r="AQ38" s="3" t="s">
        <v>76</v>
      </c>
      <c r="AR38" s="3" t="s">
        <v>77</v>
      </c>
      <c r="AS38" s="3" t="s">
        <v>52</v>
      </c>
      <c r="AT38" s="3" t="s">
        <v>52</v>
      </c>
      <c r="AU38" s="9"/>
      <c r="AV38" s="9"/>
      <c r="AW38" s="9">
        <v>1</v>
      </c>
      <c r="AX38" t="str">
        <f t="shared" si="0"/>
        <v>('FULLER', 'GREGORY', 'NA MEETINGS', '13514 SOUTH CRATER ROAD', 'PETERSBURG', 'VA', '23805', '(804) 895-4850', '', '3/11/1963', '1/20/2001', '1st &amp; 3rd Wed 7:30-8:30pm', '', 'n/a', '(804) 798- 2470', 'Life Experiences', '', '', 'White', 'Male', '228-17-8190', '2ND ID', '', '', '', '', 'SECULAR', '39970', 'TRUE', 'TRUE', 'FALSE', 'COVID INACTIVE', '', '', '', '', 'FALSE', 'March', '', '23', '41508', 'Main Jail', 'HU6', '', '', '', '', '1'),</v>
      </c>
    </row>
    <row r="39" spans="1:50" ht="25.5" x14ac:dyDescent="0.25">
      <c r="A39" s="2">
        <v>1283</v>
      </c>
      <c r="B39" s="3" t="s">
        <v>431</v>
      </c>
      <c r="C39" s="3" t="s">
        <v>432</v>
      </c>
      <c r="D39" s="3" t="s">
        <v>433</v>
      </c>
      <c r="E39" s="3" t="s">
        <v>434</v>
      </c>
      <c r="F39" s="3" t="s">
        <v>282</v>
      </c>
      <c r="G39" s="3" t="s">
        <v>50</v>
      </c>
      <c r="H39" s="4">
        <v>23860</v>
      </c>
      <c r="I39" s="3" t="s">
        <v>435</v>
      </c>
      <c r="J39" s="3" t="s">
        <v>52</v>
      </c>
      <c r="K39" s="5" t="s">
        <v>436</v>
      </c>
      <c r="L39" s="5" t="s">
        <v>437</v>
      </c>
      <c r="M39" s="3" t="s">
        <v>78</v>
      </c>
      <c r="N39" s="3" t="s">
        <v>52</v>
      </c>
      <c r="O39" s="3" t="s">
        <v>52</v>
      </c>
      <c r="P39" s="3" t="s">
        <v>52</v>
      </c>
      <c r="Q39" s="3" t="s">
        <v>87</v>
      </c>
      <c r="R39" s="3" t="s">
        <v>52</v>
      </c>
      <c r="S39" s="3" t="s">
        <v>438</v>
      </c>
      <c r="T39" s="3" t="s">
        <v>56</v>
      </c>
      <c r="U39" s="3" t="s">
        <v>57</v>
      </c>
      <c r="V39" s="3" t="s">
        <v>439</v>
      </c>
      <c r="W39" s="3" t="s">
        <v>52</v>
      </c>
      <c r="X39" s="3" t="s">
        <v>52</v>
      </c>
      <c r="Y39" s="3" t="s">
        <v>52</v>
      </c>
      <c r="Z39" s="3" t="s">
        <v>52</v>
      </c>
      <c r="AA39" s="3" t="s">
        <v>52</v>
      </c>
      <c r="AB39" s="3" t="s">
        <v>59</v>
      </c>
      <c r="AD39" s="7" t="b">
        <v>0</v>
      </c>
      <c r="AE39" s="7" t="b">
        <v>0</v>
      </c>
      <c r="AF39" s="7" t="b">
        <v>0</v>
      </c>
      <c r="AG39" s="3" t="s">
        <v>60</v>
      </c>
      <c r="AH39" s="3" t="s">
        <v>52</v>
      </c>
      <c r="AI39" s="3" t="s">
        <v>52</v>
      </c>
      <c r="AJ39" s="3" t="s">
        <v>52</v>
      </c>
      <c r="AK39" s="3" t="s">
        <v>52</v>
      </c>
      <c r="AL39" s="7" t="b">
        <v>0</v>
      </c>
      <c r="AM39" s="3" t="s">
        <v>440</v>
      </c>
      <c r="AO39" s="2">
        <v>0</v>
      </c>
      <c r="AQ39" s="3" t="s">
        <v>52</v>
      </c>
      <c r="AR39" s="3" t="s">
        <v>52</v>
      </c>
      <c r="AS39" s="3" t="s">
        <v>52</v>
      </c>
      <c r="AT39" s="3" t="s">
        <v>52</v>
      </c>
      <c r="AU39" s="9"/>
      <c r="AV39" s="9"/>
      <c r="AW39" s="9">
        <v>1</v>
      </c>
      <c r="AX39" t="str">
        <f t="shared" si="0"/>
        <v>('GALLEMORE', 'SHAKIMA', 'REENTRY GROUP FACILITATOR', '3905 LONDON ROAD', 'HOPEWELL', 'VA', '23860', '(804) 943-3702', '', '2/18/1991', '6/27/2019', 'Varies', '', '', '', 'Degree', '', 'shakimag@yahoo.com6', 'Black', 'Female', '150-90-0062', '', '', '', '', '', 'SECULAR', '', 'FALSE', 'FALSE', 'FALSE', 'COVID INACTIVE', '', '', '', '', 'FALSE', 'February', '', '0', '', '', '', '', '', '', '', '1'),</v>
      </c>
    </row>
    <row r="40" spans="1:50" ht="25.5" x14ac:dyDescent="0.25">
      <c r="A40" s="2">
        <v>1281</v>
      </c>
      <c r="B40" s="3" t="s">
        <v>442</v>
      </c>
      <c r="C40" s="3" t="s">
        <v>443</v>
      </c>
      <c r="D40" s="3" t="s">
        <v>96</v>
      </c>
      <c r="E40" s="3" t="s">
        <v>444</v>
      </c>
      <c r="F40" s="3" t="s">
        <v>68</v>
      </c>
      <c r="G40" s="3" t="s">
        <v>50</v>
      </c>
      <c r="H40" s="4">
        <v>23803</v>
      </c>
      <c r="I40" s="3" t="s">
        <v>445</v>
      </c>
      <c r="J40" s="3" t="s">
        <v>52</v>
      </c>
      <c r="K40" s="5" t="s">
        <v>446</v>
      </c>
      <c r="L40" s="5" t="s">
        <v>447</v>
      </c>
      <c r="M40" s="3" t="s">
        <v>441</v>
      </c>
      <c r="N40" s="3" t="s">
        <v>52</v>
      </c>
      <c r="O40" s="3" t="s">
        <v>52</v>
      </c>
      <c r="P40" s="3" t="s">
        <v>52</v>
      </c>
      <c r="Q40" s="3" t="s">
        <v>102</v>
      </c>
      <c r="R40" s="3" t="s">
        <v>52</v>
      </c>
      <c r="S40" s="3" t="s">
        <v>52</v>
      </c>
      <c r="T40" s="3" t="s">
        <v>56</v>
      </c>
      <c r="U40" s="3" t="s">
        <v>57</v>
      </c>
      <c r="V40" s="3" t="s">
        <v>448</v>
      </c>
      <c r="W40" s="3" t="s">
        <v>52</v>
      </c>
      <c r="X40" s="3" t="s">
        <v>52</v>
      </c>
      <c r="Y40" s="3" t="s">
        <v>52</v>
      </c>
      <c r="Z40" s="3" t="s">
        <v>52</v>
      </c>
      <c r="AA40" s="3" t="s">
        <v>52</v>
      </c>
      <c r="AB40" s="3" t="s">
        <v>59</v>
      </c>
      <c r="AD40" s="7" t="b">
        <v>0</v>
      </c>
      <c r="AE40" s="7" t="b">
        <v>0</v>
      </c>
      <c r="AF40" s="7" t="b">
        <v>0</v>
      </c>
      <c r="AG40" s="3" t="s">
        <v>60</v>
      </c>
      <c r="AH40" s="3" t="s">
        <v>52</v>
      </c>
      <c r="AI40" s="3" t="s">
        <v>52</v>
      </c>
      <c r="AJ40" s="3" t="s">
        <v>52</v>
      </c>
      <c r="AK40" s="3" t="s">
        <v>52</v>
      </c>
      <c r="AL40" s="7" t="b">
        <v>0</v>
      </c>
      <c r="AM40" s="3" t="s">
        <v>449</v>
      </c>
      <c r="AO40" s="2">
        <v>0</v>
      </c>
      <c r="AQ40" s="3" t="s">
        <v>52</v>
      </c>
      <c r="AR40" s="3" t="s">
        <v>52</v>
      </c>
      <c r="AS40" s="3" t="s">
        <v>52</v>
      </c>
      <c r="AT40" s="3" t="s">
        <v>52</v>
      </c>
      <c r="AU40" s="9"/>
      <c r="AV40" s="9"/>
      <c r="AW40" s="9">
        <v>1</v>
      </c>
      <c r="AX40" t="str">
        <f t="shared" si="0"/>
        <v>('GARNER', 'YAHSHEEN', 'NA MEETINGS', '719 E WYTHE STREET', 'PETERSBURG', 'VA', '23803', '(908) 247-7801', '', '6/7/1974', '6/19/2019', '1st &amp; 3rd Wed or  2nd &amp; 4th Sun 7:30pm-8:30pm', '', '', '', 'Life Experiences', '', '', 'Black', 'Female', '156-68-8811', '', '', '', '', '', 'SECULAR', '', 'FALSE', 'FALSE', 'FALSE', 'COVID INACTIVE', '', '', '', '', 'FALSE', 'JUNE', '', '0', '', '', '', '', '', '', '', '1'),</v>
      </c>
    </row>
    <row r="41" spans="1:50" ht="25.5" x14ac:dyDescent="0.25">
      <c r="A41" s="2">
        <v>1282</v>
      </c>
      <c r="B41" s="3" t="s">
        <v>442</v>
      </c>
      <c r="C41" s="3" t="s">
        <v>451</v>
      </c>
      <c r="D41" s="3" t="s">
        <v>96</v>
      </c>
      <c r="E41" s="3" t="s">
        <v>452</v>
      </c>
      <c r="F41" s="3" t="s">
        <v>68</v>
      </c>
      <c r="G41" s="3" t="s">
        <v>50</v>
      </c>
      <c r="H41" s="4">
        <v>23803</v>
      </c>
      <c r="I41" s="3" t="s">
        <v>453</v>
      </c>
      <c r="J41" s="3" t="s">
        <v>52</v>
      </c>
      <c r="K41" s="5" t="s">
        <v>454</v>
      </c>
      <c r="L41" s="5" t="s">
        <v>447</v>
      </c>
      <c r="M41" s="3" t="s">
        <v>450</v>
      </c>
      <c r="N41" s="3" t="s">
        <v>52</v>
      </c>
      <c r="O41" s="3" t="s">
        <v>52</v>
      </c>
      <c r="P41" s="3" t="s">
        <v>52</v>
      </c>
      <c r="Q41" s="3" t="s">
        <v>102</v>
      </c>
      <c r="R41" s="3" t="s">
        <v>52</v>
      </c>
      <c r="S41" s="3" t="s">
        <v>52</v>
      </c>
      <c r="T41" s="3" t="s">
        <v>56</v>
      </c>
      <c r="U41" s="3" t="s">
        <v>89</v>
      </c>
      <c r="V41" s="3" t="s">
        <v>455</v>
      </c>
      <c r="W41" s="3" t="s">
        <v>52</v>
      </c>
      <c r="X41" s="3" t="s">
        <v>52</v>
      </c>
      <c r="Y41" s="3" t="s">
        <v>52</v>
      </c>
      <c r="Z41" s="3" t="s">
        <v>52</v>
      </c>
      <c r="AA41" s="3" t="s">
        <v>52</v>
      </c>
      <c r="AB41" s="3" t="s">
        <v>59</v>
      </c>
      <c r="AD41" s="7" t="b">
        <v>0</v>
      </c>
      <c r="AE41" s="7" t="b">
        <v>0</v>
      </c>
      <c r="AF41" s="7" t="b">
        <v>0</v>
      </c>
      <c r="AG41" s="3" t="s">
        <v>60</v>
      </c>
      <c r="AH41" s="3" t="s">
        <v>52</v>
      </c>
      <c r="AI41" s="3" t="s">
        <v>52</v>
      </c>
      <c r="AJ41" s="3" t="s">
        <v>52</v>
      </c>
      <c r="AK41" s="3" t="s">
        <v>52</v>
      </c>
      <c r="AL41" s="7" t="b">
        <v>0</v>
      </c>
      <c r="AM41" s="3" t="s">
        <v>176</v>
      </c>
      <c r="AO41" s="2">
        <v>0</v>
      </c>
      <c r="AQ41" s="3" t="s">
        <v>52</v>
      </c>
      <c r="AR41" s="3" t="s">
        <v>52</v>
      </c>
      <c r="AS41" s="3" t="s">
        <v>52</v>
      </c>
      <c r="AT41" s="3" t="s">
        <v>52</v>
      </c>
      <c r="AU41" s="9"/>
      <c r="AV41" s="9"/>
      <c r="AW41" s="9">
        <v>1</v>
      </c>
      <c r="AX41" t="str">
        <f t="shared" si="0"/>
        <v>('GARNER', 'RONNIE', 'NA MEETINGS', '719 E. WYTHE STREET', 'PETERSBURG', 'VA', '23803', '(908) 247-8561', '', '11/8/1966', '6/19/2019', '1st &amp; 3rd Wed or 2nd  &amp; 4th Sun 7:30pm-8:30pm', '', '', '', 'Life Experiences', '', '', 'Black', 'Male', '141-62-6436', '', '', '', '', '', 'SECULAR', '', 'FALSE', 'FALSE', 'FALSE', 'COVID INACTIVE', '', '', '', '', 'FALSE', 'November', '', '0', '', '', '', '', '', '', '', '1'),</v>
      </c>
    </row>
    <row r="42" spans="1:50" ht="25.5" x14ac:dyDescent="0.25">
      <c r="A42" s="2">
        <v>1311</v>
      </c>
      <c r="B42" s="3" t="s">
        <v>457</v>
      </c>
      <c r="C42" s="3" t="s">
        <v>458</v>
      </c>
      <c r="D42" s="3" t="s">
        <v>107</v>
      </c>
      <c r="E42" s="3" t="s">
        <v>459</v>
      </c>
      <c r="F42" s="3" t="s">
        <v>314</v>
      </c>
      <c r="G42" s="3" t="s">
        <v>50</v>
      </c>
      <c r="H42" s="4">
        <v>23834</v>
      </c>
      <c r="I42" s="3" t="s">
        <v>460</v>
      </c>
      <c r="J42" s="3" t="s">
        <v>52</v>
      </c>
      <c r="K42" s="5" t="s">
        <v>461</v>
      </c>
      <c r="L42" s="5" t="s">
        <v>462</v>
      </c>
      <c r="M42" s="3" t="s">
        <v>456</v>
      </c>
      <c r="N42" s="3" t="s">
        <v>52</v>
      </c>
      <c r="O42" s="3" t="s">
        <v>463</v>
      </c>
      <c r="P42" s="3" t="s">
        <v>52</v>
      </c>
      <c r="Q42" s="3" t="s">
        <v>52</v>
      </c>
      <c r="R42" s="3" t="s">
        <v>52</v>
      </c>
      <c r="S42" s="3" t="s">
        <v>464</v>
      </c>
      <c r="T42" s="3" t="s">
        <v>103</v>
      </c>
      <c r="U42" s="3" t="s">
        <v>89</v>
      </c>
      <c r="V42" s="3" t="s">
        <v>465</v>
      </c>
      <c r="W42" s="3" t="s">
        <v>52</v>
      </c>
      <c r="X42" s="3" t="s">
        <v>466</v>
      </c>
      <c r="Y42" s="3" t="s">
        <v>467</v>
      </c>
      <c r="Z42" s="3" t="s">
        <v>468</v>
      </c>
      <c r="AA42" s="3" t="s">
        <v>52</v>
      </c>
      <c r="AB42" s="3" t="s">
        <v>75</v>
      </c>
      <c r="AD42" s="7" t="b">
        <v>0</v>
      </c>
      <c r="AE42" s="7" t="b">
        <v>0</v>
      </c>
      <c r="AF42" s="7" t="b">
        <v>0</v>
      </c>
      <c r="AG42" s="3" t="s">
        <v>60</v>
      </c>
      <c r="AH42" s="3" t="s">
        <v>52</v>
      </c>
      <c r="AI42" s="3" t="s">
        <v>402</v>
      </c>
      <c r="AJ42" s="3" t="s">
        <v>52</v>
      </c>
      <c r="AK42" s="3" t="s">
        <v>52</v>
      </c>
      <c r="AL42" s="7" t="b">
        <v>0</v>
      </c>
      <c r="AM42" s="3" t="s">
        <v>62</v>
      </c>
      <c r="AO42" s="2">
        <v>0</v>
      </c>
      <c r="AQ42" s="3" t="s">
        <v>52</v>
      </c>
      <c r="AR42" s="3" t="s">
        <v>52</v>
      </c>
      <c r="AS42" s="3" t="s">
        <v>402</v>
      </c>
      <c r="AT42" s="3" t="s">
        <v>52</v>
      </c>
      <c r="AU42" s="9"/>
      <c r="AV42" s="9"/>
      <c r="AW42" s="9">
        <v>1</v>
      </c>
      <c r="AX42" t="str">
        <f t="shared" si="0"/>
        <v>('GATTTIS', 'ALAN', 'MINISTRY-COUNSELING', '300 RIDGE ROAD', 'COLONIAL HEIGHTS', 'VA', '23834', '(804) 712-1707', '', '8/4/1957', '8/9/2013', 'Tue 7:30-9:30pm', '', 'Matoaca Christian Fellowship', '', '', '', 'res1e2ws@verizon.net', 'White', 'Male', '225-86-7387', '', '7700 River Road, Matoaca, VA 23803', 'Ryan B. Atchison', '(804) 590-2375', '', 'MINISTRY', '', 'FALSE', 'FALSE', 'FALSE', 'COVID INACTIVE', '', 'Christian', '', '', 'FALSE', 'August', '', '0', '', '', '', 'Christian', '', '', '', '1'),</v>
      </c>
    </row>
    <row r="43" spans="1:50" ht="25.5" x14ac:dyDescent="0.25">
      <c r="A43" s="2">
        <v>1243</v>
      </c>
      <c r="B43" s="3" t="s">
        <v>470</v>
      </c>
      <c r="C43" s="3" t="s">
        <v>471</v>
      </c>
      <c r="D43" s="3" t="s">
        <v>122</v>
      </c>
      <c r="E43" s="3" t="s">
        <v>472</v>
      </c>
      <c r="F43" s="3" t="s">
        <v>124</v>
      </c>
      <c r="G43" s="3" t="s">
        <v>50</v>
      </c>
      <c r="H43" s="4">
        <v>23831</v>
      </c>
      <c r="I43" s="3" t="s">
        <v>473</v>
      </c>
      <c r="J43" s="3" t="s">
        <v>52</v>
      </c>
      <c r="K43" s="5" t="s">
        <v>474</v>
      </c>
      <c r="L43" s="5" t="s">
        <v>475</v>
      </c>
      <c r="M43" s="3" t="s">
        <v>469</v>
      </c>
      <c r="N43" s="3" t="s">
        <v>52</v>
      </c>
      <c r="O43" s="3" t="s">
        <v>52</v>
      </c>
      <c r="P43" s="3" t="s">
        <v>52</v>
      </c>
      <c r="Q43" s="3" t="s">
        <v>102</v>
      </c>
      <c r="R43" s="3" t="s">
        <v>52</v>
      </c>
      <c r="S43" s="3" t="s">
        <v>52</v>
      </c>
      <c r="T43" s="3" t="s">
        <v>103</v>
      </c>
      <c r="U43" s="3" t="s">
        <v>57</v>
      </c>
      <c r="V43" s="3" t="s">
        <v>476</v>
      </c>
      <c r="W43" s="3" t="s">
        <v>52</v>
      </c>
      <c r="X43" s="3" t="s">
        <v>52</v>
      </c>
      <c r="Y43" s="3" t="s">
        <v>52</v>
      </c>
      <c r="Z43" s="3" t="s">
        <v>52</v>
      </c>
      <c r="AA43" s="3" t="s">
        <v>52</v>
      </c>
      <c r="AB43" s="3" t="s">
        <v>59</v>
      </c>
      <c r="AD43" s="7" t="b">
        <v>1</v>
      </c>
      <c r="AE43" s="7" t="b">
        <v>1</v>
      </c>
      <c r="AF43" s="7" t="b">
        <v>0</v>
      </c>
      <c r="AG43" s="3" t="s">
        <v>60</v>
      </c>
      <c r="AH43" s="3" t="s">
        <v>52</v>
      </c>
      <c r="AI43" s="3" t="s">
        <v>52</v>
      </c>
      <c r="AJ43" s="3" t="s">
        <v>52</v>
      </c>
      <c r="AK43" s="3" t="s">
        <v>52</v>
      </c>
      <c r="AL43" s="7" t="b">
        <v>0</v>
      </c>
      <c r="AM43" s="3" t="s">
        <v>52</v>
      </c>
      <c r="AO43" s="2">
        <v>0</v>
      </c>
      <c r="AQ43" s="3" t="s">
        <v>52</v>
      </c>
      <c r="AR43" s="3" t="s">
        <v>52</v>
      </c>
      <c r="AS43" s="3" t="s">
        <v>52</v>
      </c>
      <c r="AT43" s="3" t="s">
        <v>52</v>
      </c>
      <c r="AU43" s="9"/>
      <c r="AV43" s="9"/>
      <c r="AW43" s="9">
        <v>1</v>
      </c>
      <c r="AX43" t="str">
        <f t="shared" si="0"/>
        <v>('GIBSON', 'BETSY', 'AA MEETINGS', '16030 SEARCHLIGHT COURT', 'CHESTER', 'VA', '23831', '(804) 479-2048', '', '1/23/1964', '4/13/2011', '2nd &amp; 4th Mon 8:00pm-9:00pm', '', '', '', 'Life Experiences', '', '', 'White', 'Female', '225-19-0223', '', '', '', '', '', 'SECULAR', '', 'TRUE', 'TRUE', 'FALSE', 'COVID INACTIVE', '', '', '', '', 'FALSE', '', '', '0', '', '', '', '', '', '', '', '1'),</v>
      </c>
    </row>
    <row r="44" spans="1:50" ht="51" x14ac:dyDescent="0.25">
      <c r="A44" s="2">
        <v>1313</v>
      </c>
      <c r="B44" s="3" t="s">
        <v>478</v>
      </c>
      <c r="C44" s="3" t="s">
        <v>479</v>
      </c>
      <c r="D44" s="3" t="s">
        <v>66</v>
      </c>
      <c r="E44" s="3" t="s">
        <v>480</v>
      </c>
      <c r="F44" s="3" t="s">
        <v>68</v>
      </c>
      <c r="G44" s="3" t="s">
        <v>50</v>
      </c>
      <c r="H44" s="4">
        <v>23803</v>
      </c>
      <c r="I44" s="3" t="s">
        <v>481</v>
      </c>
      <c r="J44" s="3" t="s">
        <v>482</v>
      </c>
      <c r="K44" s="5" t="s">
        <v>483</v>
      </c>
      <c r="L44" s="5" t="s">
        <v>484</v>
      </c>
      <c r="M44" s="3" t="s">
        <v>477</v>
      </c>
      <c r="N44" s="3" t="s">
        <v>52</v>
      </c>
      <c r="O44" s="3" t="s">
        <v>485</v>
      </c>
      <c r="P44" s="3" t="s">
        <v>52</v>
      </c>
      <c r="Q44" s="3" t="s">
        <v>73</v>
      </c>
      <c r="R44" s="3" t="s">
        <v>52</v>
      </c>
      <c r="S44" s="3" t="s">
        <v>486</v>
      </c>
      <c r="T44" s="3" t="s">
        <v>56</v>
      </c>
      <c r="U44" s="3" t="s">
        <v>57</v>
      </c>
      <c r="V44" s="3" t="s">
        <v>487</v>
      </c>
      <c r="W44" s="3" t="s">
        <v>488</v>
      </c>
      <c r="X44" s="3" t="s">
        <v>52</v>
      </c>
      <c r="Y44" s="3" t="s">
        <v>489</v>
      </c>
      <c r="Z44" s="3" t="s">
        <v>52</v>
      </c>
      <c r="AA44" s="3" t="s">
        <v>52</v>
      </c>
      <c r="AB44" s="3" t="s">
        <v>75</v>
      </c>
      <c r="AD44" s="7" t="b">
        <v>0</v>
      </c>
      <c r="AE44" s="7" t="b">
        <v>0</v>
      </c>
      <c r="AF44" s="7" t="b">
        <v>0</v>
      </c>
      <c r="AG44" s="3" t="s">
        <v>143</v>
      </c>
      <c r="AH44" s="3" t="s">
        <v>52</v>
      </c>
      <c r="AI44" s="3" t="s">
        <v>490</v>
      </c>
      <c r="AJ44" s="3" t="s">
        <v>52</v>
      </c>
      <c r="AK44" s="3" t="s">
        <v>52</v>
      </c>
      <c r="AL44" s="7" t="b">
        <v>0</v>
      </c>
      <c r="AM44" s="3" t="s">
        <v>92</v>
      </c>
      <c r="AO44" s="2">
        <v>0</v>
      </c>
      <c r="AQ44" s="3" t="s">
        <v>52</v>
      </c>
      <c r="AR44" s="3" t="s">
        <v>52</v>
      </c>
      <c r="AS44" s="3" t="s">
        <v>118</v>
      </c>
      <c r="AT44" s="3" t="s">
        <v>52</v>
      </c>
      <c r="AU44" s="9"/>
      <c r="AV44" s="9"/>
      <c r="AW44" s="9">
        <v>1</v>
      </c>
      <c r="AX44" t="str">
        <f t="shared" si="0"/>
        <v>('GREEN', 'CAROL', 'MINISTRY-BIBLE STUDY', '1 SURRY LANE', 'PETERSBURG', 'VA', '23803', '(804) 709-2775', '(646) 709-2775', '10/7/1955', '6/17/2019', 'Wed 9:00am-3:00pm', '', 'Mt. Pleasant Baptist', '', 'Letter of Recommendation', '', 'cgreen1839@gmail.com', 'Black', 'Female', '129-46-7729', 'commitment agreement, do and don’t, credentials, dob, doh, church information, race, gender, ssn', '', 'Dr. Joey Anthony', '', '', 'MINISTRY', '', 'FALSE', 'FALSE', 'FALSE', 'Active', '', 'Baptist', '', '', 'FALSE', 'October', '', '0', '', '', '', 'BAPTIST', '', '', '', '1'),</v>
      </c>
    </row>
    <row r="45" spans="1:50" ht="25.5" x14ac:dyDescent="0.25">
      <c r="A45" s="2">
        <v>1382</v>
      </c>
      <c r="B45" s="3" t="s">
        <v>491</v>
      </c>
      <c r="C45" s="3" t="s">
        <v>492</v>
      </c>
      <c r="D45" s="3" t="s">
        <v>261</v>
      </c>
      <c r="E45" s="3" t="s">
        <v>493</v>
      </c>
      <c r="F45" s="3" t="s">
        <v>494</v>
      </c>
      <c r="G45" s="3" t="s">
        <v>50</v>
      </c>
      <c r="H45" s="4">
        <v>23803</v>
      </c>
      <c r="I45" s="3" t="s">
        <v>52</v>
      </c>
      <c r="J45" s="3" t="s">
        <v>495</v>
      </c>
      <c r="K45" s="5" t="s">
        <v>496</v>
      </c>
      <c r="L45" s="5" t="s">
        <v>497</v>
      </c>
      <c r="M45" s="3" t="s">
        <v>258</v>
      </c>
      <c r="N45" s="3" t="s">
        <v>52</v>
      </c>
      <c r="O45" s="3" t="s">
        <v>52</v>
      </c>
      <c r="P45" s="3" t="s">
        <v>52</v>
      </c>
      <c r="Q45" s="3" t="s">
        <v>87</v>
      </c>
      <c r="R45" s="3" t="s">
        <v>52</v>
      </c>
      <c r="S45" s="3" t="s">
        <v>498</v>
      </c>
      <c r="T45" s="3" t="s">
        <v>56</v>
      </c>
      <c r="U45" s="3" t="s">
        <v>57</v>
      </c>
      <c r="V45" s="3" t="s">
        <v>499</v>
      </c>
      <c r="W45" s="3" t="s">
        <v>52</v>
      </c>
      <c r="X45" s="3" t="s">
        <v>52</v>
      </c>
      <c r="Y45" s="3" t="s">
        <v>52</v>
      </c>
      <c r="Z45" s="3" t="s">
        <v>52</v>
      </c>
      <c r="AA45" s="3" t="s">
        <v>52</v>
      </c>
      <c r="AB45" s="3" t="s">
        <v>59</v>
      </c>
      <c r="AD45" s="7" t="b">
        <v>0</v>
      </c>
      <c r="AE45" s="7" t="b">
        <v>0</v>
      </c>
      <c r="AF45" s="7" t="b">
        <v>1</v>
      </c>
      <c r="AG45" s="3" t="s">
        <v>91</v>
      </c>
      <c r="AH45" s="3" t="s">
        <v>52</v>
      </c>
      <c r="AI45" s="3" t="s">
        <v>52</v>
      </c>
      <c r="AJ45" s="3" t="s">
        <v>52</v>
      </c>
      <c r="AK45" s="3" t="s">
        <v>52</v>
      </c>
      <c r="AL45" s="7" t="b">
        <v>0</v>
      </c>
      <c r="AM45" s="3" t="s">
        <v>379</v>
      </c>
      <c r="AO45" s="2">
        <v>0</v>
      </c>
      <c r="AQ45" s="3" t="s">
        <v>52</v>
      </c>
      <c r="AR45" s="3" t="s">
        <v>52</v>
      </c>
      <c r="AS45" s="3" t="s">
        <v>52</v>
      </c>
      <c r="AT45" s="3" t="s">
        <v>52</v>
      </c>
      <c r="AU45" s="9"/>
      <c r="AV45" s="9"/>
      <c r="AW45" s="9">
        <v>1</v>
      </c>
      <c r="AX45" t="str">
        <f t="shared" si="0"/>
        <v>('HALL', 'EMILY', 'DISTRICT 19', '23923 RIVER ROAD', 'NORTH DINWIDDIE', 'VA', '23803', '', '(804) 720-5292', '9/13/1962', '12/7/2021', 'Tues &amp; Thurs 9:30am-11:00am', '', '', '', 'Degree', '', 'ehall@d19csb.com', 'Black', 'Female', '225-08-4377', '', '', '', '', '', 'SECULAR', '', 'FALSE', 'FALSE', 'TRUE', 'ACTIVE', '', '', '', '', 'FALSE', 'September', '', '0', '', '', '', '', '', '', '', '1'),</v>
      </c>
    </row>
    <row r="46" spans="1:50" ht="25.5" x14ac:dyDescent="0.25">
      <c r="A46" s="2">
        <v>1314</v>
      </c>
      <c r="B46" s="3" t="s">
        <v>501</v>
      </c>
      <c r="C46" s="3" t="s">
        <v>383</v>
      </c>
      <c r="D46" s="3" t="s">
        <v>502</v>
      </c>
      <c r="E46" s="3" t="s">
        <v>503</v>
      </c>
      <c r="F46" s="3" t="s">
        <v>222</v>
      </c>
      <c r="G46" s="3" t="s">
        <v>50</v>
      </c>
      <c r="H46" s="4">
        <v>23838</v>
      </c>
      <c r="I46" s="3" t="s">
        <v>504</v>
      </c>
      <c r="J46" s="3" t="s">
        <v>505</v>
      </c>
      <c r="K46" s="5" t="s">
        <v>506</v>
      </c>
      <c r="L46" s="5" t="s">
        <v>507</v>
      </c>
      <c r="M46" s="3" t="s">
        <v>500</v>
      </c>
      <c r="N46" s="3" t="s">
        <v>52</v>
      </c>
      <c r="O46" s="3" t="s">
        <v>508</v>
      </c>
      <c r="P46" s="3" t="s">
        <v>52</v>
      </c>
      <c r="Q46" s="3" t="s">
        <v>73</v>
      </c>
      <c r="R46" s="3" t="s">
        <v>52</v>
      </c>
      <c r="S46" s="3" t="s">
        <v>509</v>
      </c>
      <c r="T46" s="3" t="s">
        <v>103</v>
      </c>
      <c r="U46" s="3" t="s">
        <v>89</v>
      </c>
      <c r="V46" s="3" t="s">
        <v>510</v>
      </c>
      <c r="W46" s="3" t="s">
        <v>511</v>
      </c>
      <c r="X46" s="3" t="s">
        <v>512</v>
      </c>
      <c r="Y46" s="3" t="s">
        <v>513</v>
      </c>
      <c r="Z46" s="3" t="s">
        <v>52</v>
      </c>
      <c r="AA46" s="3" t="s">
        <v>52</v>
      </c>
      <c r="AB46" s="3" t="s">
        <v>75</v>
      </c>
      <c r="AD46" s="7" t="b">
        <v>0</v>
      </c>
      <c r="AE46" s="7" t="b">
        <v>0</v>
      </c>
      <c r="AF46" s="7" t="b">
        <v>0</v>
      </c>
      <c r="AG46" s="3" t="s">
        <v>60</v>
      </c>
      <c r="AH46" s="3" t="s">
        <v>52</v>
      </c>
      <c r="AI46" s="3" t="s">
        <v>118</v>
      </c>
      <c r="AJ46" s="3" t="s">
        <v>52</v>
      </c>
      <c r="AK46" s="3" t="s">
        <v>52</v>
      </c>
      <c r="AL46" s="7" t="b">
        <v>0</v>
      </c>
      <c r="AM46" s="3" t="s">
        <v>379</v>
      </c>
      <c r="AO46" s="2">
        <v>0</v>
      </c>
      <c r="AQ46" s="3" t="s">
        <v>76</v>
      </c>
      <c r="AR46" s="3" t="s">
        <v>77</v>
      </c>
      <c r="AS46" s="3" t="s">
        <v>118</v>
      </c>
      <c r="AT46" s="3" t="s">
        <v>52</v>
      </c>
      <c r="AU46" s="9"/>
      <c r="AV46" s="9"/>
      <c r="AW46" s="9">
        <v>1</v>
      </c>
      <c r="AX46" t="str">
        <f t="shared" si="0"/>
        <v>('HAMILTON', 'MATTHEW', 'MINISTRY-BIBLE STUDY/SUNDAY SERVICE', '14200 PHYSIC HILL ROAD', 'CHESTERFIELD', 'VA', '23838', '(804) 739-1991', '(804) 739-1096', '9/18/1952', '10/23/2015', 'Fri 9:00-10:30am/Sun 9:30-11:00am HU6 Males', '', 'Manchester Baptist', '', 'Letter of Recommendation', '', 'newdawnproperty@verizon.net', 'White', 'Male', '224-78-7768', 'credentials, dob, doh, church information, race, gender, ssn', '9515 Winterpock Road, Chesterfield, VA 23832', 'Wayne Porter', '', '', 'MINISTRY', '', 'FALSE', 'FALSE', 'FALSE', 'COVID INACTIVE', '', 'BAPTIST', '', '', 'FALSE', 'September', '', '0', '', 'Main Jail', 'HU6', 'BAPTIST', '', '', '', '1'),</v>
      </c>
    </row>
    <row r="47" spans="1:50" ht="25.5" x14ac:dyDescent="0.25">
      <c r="A47" s="2">
        <v>1315</v>
      </c>
      <c r="B47" s="3" t="s">
        <v>501</v>
      </c>
      <c r="C47" s="3" t="s">
        <v>515</v>
      </c>
      <c r="D47" s="3" t="s">
        <v>502</v>
      </c>
      <c r="E47" s="3" t="s">
        <v>503</v>
      </c>
      <c r="F47" s="3" t="s">
        <v>222</v>
      </c>
      <c r="G47" s="3" t="s">
        <v>50</v>
      </c>
      <c r="H47" s="4">
        <v>23838</v>
      </c>
      <c r="I47" s="3" t="s">
        <v>504</v>
      </c>
      <c r="J47" s="3" t="s">
        <v>52</v>
      </c>
      <c r="K47" s="5" t="s">
        <v>516</v>
      </c>
      <c r="L47" s="5" t="s">
        <v>517</v>
      </c>
      <c r="M47" s="3" t="s">
        <v>514</v>
      </c>
      <c r="N47" s="3" t="s">
        <v>52</v>
      </c>
      <c r="O47" s="3" t="s">
        <v>508</v>
      </c>
      <c r="P47" s="3" t="s">
        <v>52</v>
      </c>
      <c r="Q47" s="3" t="s">
        <v>73</v>
      </c>
      <c r="R47" s="3" t="s">
        <v>52</v>
      </c>
      <c r="S47" s="3" t="s">
        <v>74</v>
      </c>
      <c r="T47" s="3" t="s">
        <v>103</v>
      </c>
      <c r="U47" s="3" t="s">
        <v>57</v>
      </c>
      <c r="V47" s="3" t="s">
        <v>518</v>
      </c>
      <c r="W47" s="3" t="s">
        <v>511</v>
      </c>
      <c r="X47" s="3" t="s">
        <v>512</v>
      </c>
      <c r="Y47" s="3" t="s">
        <v>513</v>
      </c>
      <c r="Z47" s="3" t="s">
        <v>52</v>
      </c>
      <c r="AA47" s="3" t="s">
        <v>52</v>
      </c>
      <c r="AB47" s="3" t="s">
        <v>75</v>
      </c>
      <c r="AD47" s="7" t="b">
        <v>0</v>
      </c>
      <c r="AE47" s="7" t="b">
        <v>0</v>
      </c>
      <c r="AF47" s="7" t="b">
        <v>0</v>
      </c>
      <c r="AG47" s="3" t="s">
        <v>60</v>
      </c>
      <c r="AH47" s="3" t="s">
        <v>52</v>
      </c>
      <c r="AI47" s="3" t="s">
        <v>490</v>
      </c>
      <c r="AJ47" s="3" t="s">
        <v>52</v>
      </c>
      <c r="AK47" s="3" t="s">
        <v>52</v>
      </c>
      <c r="AL47" s="7" t="b">
        <v>0</v>
      </c>
      <c r="AM47" s="3" t="s">
        <v>62</v>
      </c>
      <c r="AO47" s="2">
        <v>0</v>
      </c>
      <c r="AQ47" s="3" t="s">
        <v>76</v>
      </c>
      <c r="AR47" s="3" t="s">
        <v>77</v>
      </c>
      <c r="AS47" s="3" t="s">
        <v>52</v>
      </c>
      <c r="AT47" s="3" t="s">
        <v>52</v>
      </c>
      <c r="AU47" s="9"/>
      <c r="AV47" s="9"/>
      <c r="AW47" s="9">
        <v>1</v>
      </c>
      <c r="AX47" t="str">
        <f t="shared" si="0"/>
        <v>('HAMILTON', 'TAMMY', 'MINISTRY-BIBLE STUDY/SUNDAY SERVICE', '14200 PHYSIC HILL ROAD', 'CHESTERFIELD', 'VA', '23838', '(804) 739-1991', '', '8/16/1964', '2/6/2017', 'Sun 9:35-11:00am HU6 Females', '', 'Manchester Baptist', '', 'Letter of Recommendation', '', 'n/a', 'White', 'Female', '231-78-8540', 'credentials, dob, doh, church information, race, gender, ssn', '9515 Winterpock Road, Chesterfield, VA 23832', 'Wayne Porter', '', '', 'MINISTRY', '', 'FALSE', 'FALSE', 'FALSE', 'COVID INACTIVE', '', 'Baptist', '', '', 'FALSE', 'August', '', '0', '', 'Main Jail', 'HU6', '', '', '', '', '1'),</v>
      </c>
    </row>
    <row r="48" spans="1:50" ht="25.5" x14ac:dyDescent="0.25">
      <c r="A48" s="2">
        <v>1316</v>
      </c>
      <c r="B48" s="3" t="s">
        <v>520</v>
      </c>
      <c r="C48" s="3" t="s">
        <v>521</v>
      </c>
      <c r="D48" s="3" t="s">
        <v>148</v>
      </c>
      <c r="E48" s="3" t="s">
        <v>522</v>
      </c>
      <c r="F48" s="3" t="s">
        <v>150</v>
      </c>
      <c r="G48" s="3" t="s">
        <v>50</v>
      </c>
      <c r="H48" s="4">
        <v>23875</v>
      </c>
      <c r="I48" s="3" t="s">
        <v>523</v>
      </c>
      <c r="J48" s="3" t="s">
        <v>523</v>
      </c>
      <c r="K48" s="5" t="s">
        <v>52</v>
      </c>
      <c r="L48" s="5" t="s">
        <v>52</v>
      </c>
      <c r="M48" s="3" t="s">
        <v>519</v>
      </c>
      <c r="N48" s="3" t="s">
        <v>52</v>
      </c>
      <c r="O48" s="3" t="s">
        <v>52</v>
      </c>
      <c r="P48" s="3" t="s">
        <v>52</v>
      </c>
      <c r="Q48" s="3" t="s">
        <v>52</v>
      </c>
      <c r="R48" s="3" t="s">
        <v>52</v>
      </c>
      <c r="S48" s="3" t="s">
        <v>52</v>
      </c>
      <c r="T48" s="3" t="s">
        <v>56</v>
      </c>
      <c r="U48" s="3" t="s">
        <v>57</v>
      </c>
      <c r="V48" s="3" t="s">
        <v>52</v>
      </c>
      <c r="W48" s="3" t="s">
        <v>52</v>
      </c>
      <c r="X48" s="3" t="s">
        <v>52</v>
      </c>
      <c r="Y48" s="3" t="s">
        <v>52</v>
      </c>
      <c r="Z48" s="3" t="s">
        <v>52</v>
      </c>
      <c r="AA48" s="3" t="s">
        <v>52</v>
      </c>
      <c r="AB48" s="3" t="s">
        <v>75</v>
      </c>
      <c r="AD48" s="7" t="b">
        <v>0</v>
      </c>
      <c r="AE48" s="7" t="b">
        <v>0</v>
      </c>
      <c r="AF48" s="7" t="b">
        <v>0</v>
      </c>
      <c r="AG48" s="3" t="s">
        <v>60</v>
      </c>
      <c r="AH48" s="3" t="s">
        <v>52</v>
      </c>
      <c r="AI48" s="3" t="s">
        <v>52</v>
      </c>
      <c r="AJ48" s="3" t="s">
        <v>52</v>
      </c>
      <c r="AK48" s="3" t="s">
        <v>52</v>
      </c>
      <c r="AL48" s="7" t="b">
        <v>0</v>
      </c>
      <c r="AM48" s="3" t="s">
        <v>52</v>
      </c>
      <c r="AO48" s="2">
        <v>0</v>
      </c>
      <c r="AQ48" s="3" t="s">
        <v>52</v>
      </c>
      <c r="AR48" s="3" t="s">
        <v>52</v>
      </c>
      <c r="AS48" s="3" t="s">
        <v>52</v>
      </c>
      <c r="AT48" s="3" t="s">
        <v>52</v>
      </c>
      <c r="AU48" s="9"/>
      <c r="AV48" s="9"/>
      <c r="AW48" s="9">
        <v>1</v>
      </c>
      <c r="AX48" t="str">
        <f t="shared" si="0"/>
        <v>('HARRELL', 'KIM', 'MINISTRY-SUNDAY SERVICE', '3785 IMPALA DRIVE', 'PRINCE GEORGE', 'VA', '23875', '(804) 721-7400', '(804) 721-7400', '', '', '4th Sun 2:00-3:45pm HU1B', '', '', '', '', '', '', 'Black', 'Female', '', '', '', '', '', '', 'MINISTRY', '', 'FALSE', 'FALSE', 'FALSE', 'COVID INACTIVE', '', '', '', '', 'FALSE', '', '', '0', '', '', '', '', '', '', '', '1'),</v>
      </c>
    </row>
    <row r="49" spans="1:50" ht="25.5" x14ac:dyDescent="0.25">
      <c r="A49" s="2">
        <v>1317</v>
      </c>
      <c r="B49" s="3" t="s">
        <v>520</v>
      </c>
      <c r="C49" s="3" t="s">
        <v>317</v>
      </c>
      <c r="D49" s="3" t="s">
        <v>148</v>
      </c>
      <c r="E49" s="3" t="s">
        <v>522</v>
      </c>
      <c r="F49" s="3" t="s">
        <v>150</v>
      </c>
      <c r="G49" s="3" t="s">
        <v>50</v>
      </c>
      <c r="H49" s="4">
        <v>23875</v>
      </c>
      <c r="I49" s="3" t="s">
        <v>525</v>
      </c>
      <c r="J49" s="3" t="s">
        <v>525</v>
      </c>
      <c r="K49" s="5" t="s">
        <v>52</v>
      </c>
      <c r="L49" s="5" t="s">
        <v>52</v>
      </c>
      <c r="M49" s="3" t="s">
        <v>524</v>
      </c>
      <c r="N49" s="3" t="s">
        <v>52</v>
      </c>
      <c r="O49" s="3" t="s">
        <v>52</v>
      </c>
      <c r="P49" s="3" t="s">
        <v>52</v>
      </c>
      <c r="Q49" s="3" t="s">
        <v>52</v>
      </c>
      <c r="R49" s="3" t="s">
        <v>52</v>
      </c>
      <c r="S49" s="3" t="s">
        <v>52</v>
      </c>
      <c r="T49" s="3" t="s">
        <v>56</v>
      </c>
      <c r="U49" s="3" t="s">
        <v>89</v>
      </c>
      <c r="V49" s="3" t="s">
        <v>52</v>
      </c>
      <c r="W49" s="3" t="s">
        <v>52</v>
      </c>
      <c r="X49" s="3" t="s">
        <v>52</v>
      </c>
      <c r="Y49" s="3" t="s">
        <v>52</v>
      </c>
      <c r="Z49" s="3" t="s">
        <v>52</v>
      </c>
      <c r="AA49" s="3" t="s">
        <v>52</v>
      </c>
      <c r="AB49" s="3" t="s">
        <v>75</v>
      </c>
      <c r="AD49" s="7" t="b">
        <v>0</v>
      </c>
      <c r="AE49" s="7" t="b">
        <v>0</v>
      </c>
      <c r="AF49" s="7" t="b">
        <v>0</v>
      </c>
      <c r="AG49" s="3" t="s">
        <v>60</v>
      </c>
      <c r="AH49" s="3" t="s">
        <v>52</v>
      </c>
      <c r="AI49" s="3" t="s">
        <v>52</v>
      </c>
      <c r="AJ49" s="3" t="s">
        <v>52</v>
      </c>
      <c r="AK49" s="3" t="s">
        <v>52</v>
      </c>
      <c r="AL49" s="7" t="b">
        <v>0</v>
      </c>
      <c r="AM49" s="3" t="s">
        <v>52</v>
      </c>
      <c r="AO49" s="2">
        <v>0</v>
      </c>
      <c r="AQ49" s="3" t="s">
        <v>52</v>
      </c>
      <c r="AR49" s="3" t="s">
        <v>52</v>
      </c>
      <c r="AS49" s="3" t="s">
        <v>52</v>
      </c>
      <c r="AT49" s="3" t="s">
        <v>52</v>
      </c>
      <c r="AU49" s="9"/>
      <c r="AV49" s="9"/>
      <c r="AW49" s="9">
        <v>1</v>
      </c>
      <c r="AX49" t="str">
        <f t="shared" si="0"/>
        <v>('HARRELL', 'THOMAS', 'MINISTRY-SUNDAY SERVICE', '3785 IMPALA DRIVE', 'PRINCE GEORGE', 'VA', '23875', '(804) 721-7457', '(804) 721-7457', '', '', '1st Sun 7:30-9:00pm HU4', '', '', '', '', '', '', 'Black', 'Male', '', '', '', '', '', '', 'MINISTRY', '', 'FALSE', 'FALSE', 'FALSE', 'COVID INACTIVE', '', '', '', '', 'FALSE', '', '', '0', '', '', '', '', '', '', '', '1'),</v>
      </c>
    </row>
    <row r="50" spans="1:50" ht="25.5" x14ac:dyDescent="0.25">
      <c r="A50" s="2">
        <v>1318</v>
      </c>
      <c r="B50" s="3" t="s">
        <v>527</v>
      </c>
      <c r="C50" s="3" t="s">
        <v>528</v>
      </c>
      <c r="D50" s="3" t="s">
        <v>66</v>
      </c>
      <c r="E50" s="3" t="s">
        <v>529</v>
      </c>
      <c r="F50" s="3" t="s">
        <v>68</v>
      </c>
      <c r="G50" s="3" t="s">
        <v>50</v>
      </c>
      <c r="H50" s="4">
        <v>23803</v>
      </c>
      <c r="I50" s="3" t="s">
        <v>530</v>
      </c>
      <c r="J50" s="3" t="s">
        <v>531</v>
      </c>
      <c r="K50" s="5" t="s">
        <v>52</v>
      </c>
      <c r="L50" s="5" t="s">
        <v>52</v>
      </c>
      <c r="M50" s="3" t="s">
        <v>526</v>
      </c>
      <c r="N50" s="3" t="s">
        <v>52</v>
      </c>
      <c r="O50" s="3" t="s">
        <v>52</v>
      </c>
      <c r="P50" s="3" t="s">
        <v>52</v>
      </c>
      <c r="Q50" s="3" t="s">
        <v>52</v>
      </c>
      <c r="R50" s="3" t="s">
        <v>52</v>
      </c>
      <c r="S50" s="3" t="s">
        <v>52</v>
      </c>
      <c r="T50" s="3" t="s">
        <v>56</v>
      </c>
      <c r="U50" s="3" t="s">
        <v>89</v>
      </c>
      <c r="V50" s="3" t="s">
        <v>52</v>
      </c>
      <c r="W50" s="3" t="s">
        <v>52</v>
      </c>
      <c r="X50" s="3" t="s">
        <v>52</v>
      </c>
      <c r="Y50" s="3" t="s">
        <v>52</v>
      </c>
      <c r="Z50" s="3" t="s">
        <v>52</v>
      </c>
      <c r="AA50" s="3" t="s">
        <v>52</v>
      </c>
      <c r="AB50" s="3" t="s">
        <v>75</v>
      </c>
      <c r="AD50" s="7" t="b">
        <v>0</v>
      </c>
      <c r="AE50" s="7" t="b">
        <v>0</v>
      </c>
      <c r="AF50" s="7" t="b">
        <v>0</v>
      </c>
      <c r="AG50" s="3" t="s">
        <v>60</v>
      </c>
      <c r="AH50" s="3" t="s">
        <v>52</v>
      </c>
      <c r="AI50" s="10" t="s">
        <v>1320</v>
      </c>
      <c r="AJ50" s="3" t="s">
        <v>52</v>
      </c>
      <c r="AK50" s="3" t="s">
        <v>52</v>
      </c>
      <c r="AL50" s="7" t="b">
        <v>0</v>
      </c>
      <c r="AM50" s="3" t="s">
        <v>52</v>
      </c>
      <c r="AO50" s="2">
        <v>0</v>
      </c>
      <c r="AQ50" s="3" t="s">
        <v>52</v>
      </c>
      <c r="AR50" s="3" t="s">
        <v>52</v>
      </c>
      <c r="AS50" s="3" t="s">
        <v>532</v>
      </c>
      <c r="AT50" s="3" t="s">
        <v>52</v>
      </c>
      <c r="AU50" s="9"/>
      <c r="AV50" s="9"/>
      <c r="AW50" s="9">
        <v>1</v>
      </c>
      <c r="AX50" t="str">
        <f t="shared" si="0"/>
        <v>('HARRISON', 'JEROME', 'MINISTRY-BIBLE STUDY', '772 KIRKHAM STREET', 'PETERSBURG', 'VA', '23803', '(804) 732-3556', '(804) 712-9264', '', '', 'Tue 9:45am HU2; Wed 10:00am HU3; Thu 10:00am HU5', '', '', '', '', '', '', 'Black', 'Male', '', '', '', '', '', '', 'MINISTRY', '', 'FALSE', 'FALSE', 'FALSE', 'COVID INACTIVE', '', 'JEHOVAHS WITNESS', '', '', 'FALSE', '', '', '0', '', '', '', 'JEHOVAH WITNESS', '', '', '', '1'),</v>
      </c>
    </row>
    <row r="51" spans="1:50" ht="25.5" x14ac:dyDescent="0.25">
      <c r="A51" s="2">
        <v>1319</v>
      </c>
      <c r="B51" s="3" t="s">
        <v>534</v>
      </c>
      <c r="C51" s="3" t="s">
        <v>535</v>
      </c>
      <c r="D51" s="3" t="s">
        <v>148</v>
      </c>
      <c r="E51" s="3" t="s">
        <v>536</v>
      </c>
      <c r="F51" s="3" t="s">
        <v>537</v>
      </c>
      <c r="G51" s="3" t="s">
        <v>50</v>
      </c>
      <c r="H51" s="4">
        <v>23075</v>
      </c>
      <c r="I51" s="3" t="s">
        <v>538</v>
      </c>
      <c r="J51" s="3" t="s">
        <v>52</v>
      </c>
      <c r="K51" s="5" t="s">
        <v>52</v>
      </c>
      <c r="L51" s="5" t="s">
        <v>52</v>
      </c>
      <c r="M51" s="3" t="s">
        <v>533</v>
      </c>
      <c r="N51" s="3" t="s">
        <v>52</v>
      </c>
      <c r="O51" s="3" t="s">
        <v>52</v>
      </c>
      <c r="P51" s="3" t="s">
        <v>52</v>
      </c>
      <c r="Q51" s="3" t="s">
        <v>52</v>
      </c>
      <c r="R51" s="3" t="s">
        <v>52</v>
      </c>
      <c r="S51" s="3" t="s">
        <v>52</v>
      </c>
      <c r="T51" s="3" t="s">
        <v>52</v>
      </c>
      <c r="U51" s="3" t="s">
        <v>52</v>
      </c>
      <c r="V51" s="3" t="s">
        <v>52</v>
      </c>
      <c r="W51" s="3" t="s">
        <v>52</v>
      </c>
      <c r="X51" s="3" t="s">
        <v>52</v>
      </c>
      <c r="Y51" s="3" t="s">
        <v>52</v>
      </c>
      <c r="Z51" s="3" t="s">
        <v>52</v>
      </c>
      <c r="AA51" s="3" t="s">
        <v>52</v>
      </c>
      <c r="AB51" s="3" t="s">
        <v>75</v>
      </c>
      <c r="AD51" s="7" t="b">
        <v>0</v>
      </c>
      <c r="AE51" s="7" t="b">
        <v>0</v>
      </c>
      <c r="AF51" s="7" t="b">
        <v>0</v>
      </c>
      <c r="AG51" s="3" t="s">
        <v>60</v>
      </c>
      <c r="AH51" s="3" t="s">
        <v>52</v>
      </c>
      <c r="AI51" s="3" t="s">
        <v>52</v>
      </c>
      <c r="AJ51" s="3" t="s">
        <v>52</v>
      </c>
      <c r="AK51" s="3" t="s">
        <v>52</v>
      </c>
      <c r="AL51" s="7" t="b">
        <v>0</v>
      </c>
      <c r="AM51" s="3" t="s">
        <v>52</v>
      </c>
      <c r="AO51" s="2">
        <v>0</v>
      </c>
      <c r="AQ51" s="3" t="s">
        <v>52</v>
      </c>
      <c r="AR51" s="3" t="s">
        <v>52</v>
      </c>
      <c r="AS51" s="3" t="s">
        <v>52</v>
      </c>
      <c r="AT51" s="3" t="s">
        <v>52</v>
      </c>
      <c r="AU51" s="9"/>
      <c r="AV51" s="9"/>
      <c r="AW51" s="9">
        <v>1</v>
      </c>
      <c r="AX51" t="str">
        <f t="shared" si="0"/>
        <v>('HAYDEN', 'ANDREA', 'MINISTRY-SUNDAY SERVICE', '300 HODDER LANE', 'HIGHLAND SPRINGS', 'VA', '23075', '(804) 337-2660', '', '', '', '1st Sun 8:00-9:15am HU1A; 9:30-10:45am HU1CB/MH Females', '', '', '', '', '', '', '', '', '', '', '', '', '', '', 'MINISTRY', '', 'FALSE', 'FALSE', 'FALSE', 'COVID INACTIVE', '', '', '', '', 'FALSE', '', '', '0', '', '', '', '', '', '', '', '1'),</v>
      </c>
    </row>
    <row r="52" spans="1:50" ht="25.5" x14ac:dyDescent="0.25">
      <c r="A52" s="2">
        <v>1389</v>
      </c>
      <c r="B52" s="3" t="s">
        <v>539</v>
      </c>
      <c r="C52" s="3" t="s">
        <v>540</v>
      </c>
      <c r="D52" s="3" t="s">
        <v>541</v>
      </c>
      <c r="E52" s="3" t="s">
        <v>542</v>
      </c>
      <c r="F52" s="3" t="s">
        <v>49</v>
      </c>
      <c r="G52" s="3" t="s">
        <v>50</v>
      </c>
      <c r="H52" s="4">
        <v>23224</v>
      </c>
      <c r="I52" s="3" t="s">
        <v>52</v>
      </c>
      <c r="J52" s="3" t="s">
        <v>543</v>
      </c>
      <c r="K52" s="5" t="s">
        <v>544</v>
      </c>
      <c r="L52" s="5" t="s">
        <v>545</v>
      </c>
      <c r="M52" s="3" t="s">
        <v>477</v>
      </c>
      <c r="N52" s="3" t="s">
        <v>52</v>
      </c>
      <c r="O52" s="3" t="s">
        <v>52</v>
      </c>
      <c r="P52" s="3" t="s">
        <v>52</v>
      </c>
      <c r="Q52" s="3" t="s">
        <v>172</v>
      </c>
      <c r="R52" s="3" t="s">
        <v>52</v>
      </c>
      <c r="S52" s="3" t="s">
        <v>546</v>
      </c>
      <c r="T52" s="3" t="s">
        <v>56</v>
      </c>
      <c r="U52" s="3" t="s">
        <v>89</v>
      </c>
      <c r="V52" s="3" t="s">
        <v>547</v>
      </c>
      <c r="W52" s="3" t="s">
        <v>52</v>
      </c>
      <c r="X52" s="3" t="s">
        <v>52</v>
      </c>
      <c r="Y52" s="3" t="s">
        <v>52</v>
      </c>
      <c r="Z52" s="3" t="s">
        <v>52</v>
      </c>
      <c r="AA52" s="3" t="s">
        <v>52</v>
      </c>
      <c r="AB52" s="3" t="s">
        <v>59</v>
      </c>
      <c r="AD52" s="7" t="b">
        <v>0</v>
      </c>
      <c r="AE52" s="7" t="b">
        <v>0</v>
      </c>
      <c r="AF52" s="7" t="b">
        <v>0</v>
      </c>
      <c r="AG52" s="3" t="s">
        <v>91</v>
      </c>
      <c r="AH52" s="3" t="s">
        <v>52</v>
      </c>
      <c r="AI52" s="3" t="s">
        <v>52</v>
      </c>
      <c r="AJ52" s="3" t="s">
        <v>52</v>
      </c>
      <c r="AK52" s="3" t="s">
        <v>52</v>
      </c>
      <c r="AL52" s="7" t="b">
        <v>0</v>
      </c>
      <c r="AM52" s="3" t="s">
        <v>144</v>
      </c>
      <c r="AO52" s="2">
        <v>0</v>
      </c>
      <c r="AQ52" s="3" t="s">
        <v>76</v>
      </c>
      <c r="AR52" s="3" t="s">
        <v>52</v>
      </c>
      <c r="AS52" s="3" t="s">
        <v>52</v>
      </c>
      <c r="AT52" s="3" t="s">
        <v>52</v>
      </c>
      <c r="AU52" s="9"/>
      <c r="AV52" s="9"/>
      <c r="AW52" s="9">
        <v>1</v>
      </c>
      <c r="AX52" t="str">
        <f t="shared" si="0"/>
        <v>('HENDERSON', 'MARCUS', 'RE-ENTRY WORKFORCE', '509 HULL STREET', 'RICHMOND', 'VA', '23224', '', '(804) 490-2849', '7/6/1992', '11/20/2023', 'Wed 9:00am-3:00pm', '', '', '', 'MOU', '', 'min2044@gmail.com', 'Black', 'Male', '229-65-5091', '', '', '', '', '', 'SECULAR', '', 'FALSE', 'FALSE', 'FALSE', 'ACTIVE', '', '', '', '', 'FALSE', 'July', '', '0', '', 'Main Jail', '', '', '', '', '', '1'),</v>
      </c>
    </row>
    <row r="53" spans="1:50" ht="25.5" x14ac:dyDescent="0.25">
      <c r="A53" s="2">
        <v>1320</v>
      </c>
      <c r="B53" s="3" t="s">
        <v>549</v>
      </c>
      <c r="C53" s="3" t="s">
        <v>550</v>
      </c>
      <c r="D53" s="3" t="s">
        <v>551</v>
      </c>
      <c r="E53" s="3" t="s">
        <v>552</v>
      </c>
      <c r="F53" s="3" t="s">
        <v>49</v>
      </c>
      <c r="G53" s="3" t="s">
        <v>50</v>
      </c>
      <c r="H53" s="4">
        <v>23224</v>
      </c>
      <c r="I53" s="3" t="s">
        <v>553</v>
      </c>
      <c r="J53" s="3" t="s">
        <v>52</v>
      </c>
      <c r="K53" s="5" t="s">
        <v>52</v>
      </c>
      <c r="L53" s="5" t="s">
        <v>52</v>
      </c>
      <c r="M53" s="3" t="s">
        <v>548</v>
      </c>
      <c r="N53" s="3" t="s">
        <v>52</v>
      </c>
      <c r="O53" s="3" t="s">
        <v>52</v>
      </c>
      <c r="P53" s="3" t="s">
        <v>52</v>
      </c>
      <c r="Q53" s="3" t="s">
        <v>52</v>
      </c>
      <c r="R53" s="3" t="s">
        <v>52</v>
      </c>
      <c r="S53" s="3" t="s">
        <v>52</v>
      </c>
      <c r="T53" s="3" t="s">
        <v>52</v>
      </c>
      <c r="U53" s="3" t="s">
        <v>52</v>
      </c>
      <c r="V53" s="3" t="s">
        <v>52</v>
      </c>
      <c r="W53" s="3" t="s">
        <v>52</v>
      </c>
      <c r="X53" s="3" t="s">
        <v>52</v>
      </c>
      <c r="Y53" s="3" t="s">
        <v>52</v>
      </c>
      <c r="Z53" s="3" t="s">
        <v>52</v>
      </c>
      <c r="AA53" s="3" t="s">
        <v>52</v>
      </c>
      <c r="AB53" s="3" t="s">
        <v>75</v>
      </c>
      <c r="AD53" s="7" t="b">
        <v>0</v>
      </c>
      <c r="AE53" s="7" t="b">
        <v>0</v>
      </c>
      <c r="AF53" s="7" t="b">
        <v>0</v>
      </c>
      <c r="AG53" s="3" t="s">
        <v>60</v>
      </c>
      <c r="AH53" s="3" t="s">
        <v>52</v>
      </c>
      <c r="AI53" s="3" t="s">
        <v>52</v>
      </c>
      <c r="AJ53" s="3" t="s">
        <v>52</v>
      </c>
      <c r="AK53" s="3" t="s">
        <v>52</v>
      </c>
      <c r="AL53" s="7" t="b">
        <v>0</v>
      </c>
      <c r="AM53" s="3" t="s">
        <v>52</v>
      </c>
      <c r="AO53" s="2">
        <v>0</v>
      </c>
      <c r="AQ53" s="3" t="s">
        <v>52</v>
      </c>
      <c r="AR53" s="3" t="s">
        <v>52</v>
      </c>
      <c r="AS53" s="3" t="s">
        <v>52</v>
      </c>
      <c r="AT53" s="3" t="s">
        <v>52</v>
      </c>
      <c r="AU53" s="9"/>
      <c r="AV53" s="9"/>
      <c r="AW53" s="9">
        <v>1</v>
      </c>
      <c r="AX53" t="str">
        <f t="shared" si="0"/>
        <v>('HENNINGHAN', 'LUTHER', 'MINISTRY-BIBLE STUDY/TRAUMA HEALING', '600 COWARDIN AVENUE, APT. 213', 'RICHMOND', 'VA', '23224', '(704) 674-5344', '', '', '', 'Tue pm-HU5', '', '', '', '', '', '', '', '', '', '', '', '', '', '', 'MINISTRY', '', 'FALSE', 'FALSE', 'FALSE', 'COVID INACTIVE', '', '', '', '', 'FALSE', '', '', '0', '', '', '', '', '', '', '', '1'),</v>
      </c>
    </row>
    <row r="54" spans="1:50" ht="25.5" x14ac:dyDescent="0.25">
      <c r="A54" s="2">
        <v>1321</v>
      </c>
      <c r="B54" s="3" t="s">
        <v>555</v>
      </c>
      <c r="C54" s="3" t="s">
        <v>556</v>
      </c>
      <c r="D54" s="3" t="s">
        <v>66</v>
      </c>
      <c r="E54" s="3" t="s">
        <v>557</v>
      </c>
      <c r="F54" s="3" t="s">
        <v>558</v>
      </c>
      <c r="G54" s="3" t="s">
        <v>50</v>
      </c>
      <c r="H54" s="4">
        <v>23075</v>
      </c>
      <c r="I54" s="3" t="s">
        <v>559</v>
      </c>
      <c r="J54" s="3" t="s">
        <v>559</v>
      </c>
      <c r="K54" s="5" t="s">
        <v>52</v>
      </c>
      <c r="L54" s="5" t="s">
        <v>52</v>
      </c>
      <c r="M54" s="3" t="s">
        <v>554</v>
      </c>
      <c r="N54" s="3" t="s">
        <v>52</v>
      </c>
      <c r="O54" s="3" t="s">
        <v>52</v>
      </c>
      <c r="P54" s="3" t="s">
        <v>52</v>
      </c>
      <c r="Q54" s="3" t="s">
        <v>52</v>
      </c>
      <c r="R54" s="3" t="s">
        <v>52</v>
      </c>
      <c r="S54" s="3" t="s">
        <v>52</v>
      </c>
      <c r="T54" s="3" t="s">
        <v>52</v>
      </c>
      <c r="U54" s="3" t="s">
        <v>52</v>
      </c>
      <c r="V54" s="3" t="s">
        <v>52</v>
      </c>
      <c r="W54" s="3" t="s">
        <v>52</v>
      </c>
      <c r="X54" s="3" t="s">
        <v>52</v>
      </c>
      <c r="Y54" s="3" t="s">
        <v>52</v>
      </c>
      <c r="Z54" s="3" t="s">
        <v>52</v>
      </c>
      <c r="AA54" s="3" t="s">
        <v>52</v>
      </c>
      <c r="AB54" s="3" t="s">
        <v>75</v>
      </c>
      <c r="AD54" s="7" t="b">
        <v>0</v>
      </c>
      <c r="AE54" s="7" t="b">
        <v>0</v>
      </c>
      <c r="AF54" s="7" t="b">
        <v>1</v>
      </c>
      <c r="AG54" s="3" t="s">
        <v>60</v>
      </c>
      <c r="AH54" s="3" t="s">
        <v>52</v>
      </c>
      <c r="AI54" s="3" t="s">
        <v>560</v>
      </c>
      <c r="AJ54" s="3" t="s">
        <v>52</v>
      </c>
      <c r="AK54" s="3" t="s">
        <v>52</v>
      </c>
      <c r="AL54" s="7" t="b">
        <v>0</v>
      </c>
      <c r="AM54" s="3" t="s">
        <v>52</v>
      </c>
      <c r="AO54" s="2">
        <v>0</v>
      </c>
      <c r="AQ54" s="3" t="s">
        <v>52</v>
      </c>
      <c r="AR54" s="3" t="s">
        <v>52</v>
      </c>
      <c r="AS54" s="3" t="s">
        <v>52</v>
      </c>
      <c r="AT54" s="3" t="s">
        <v>52</v>
      </c>
      <c r="AU54" s="9"/>
      <c r="AV54" s="9"/>
      <c r="AW54" s="9">
        <v>1</v>
      </c>
      <c r="AX54" t="str">
        <f t="shared" si="0"/>
        <v>('HIGGANS', 'FELICIA', 'MINISTRY-BIBLE STUDY', 'P.O. BOX 151', 'HENRICO', 'VA', '23075', '(804) 402-4249', '(804) 402-4249', '', '', 'Thu pm-7:30-9:00pm HU1CB/MH Females', '', '', '', '', '', '', '', '', '', '', '', '', '', '', 'MINISTRY', '', 'FALSE', 'FALSE', 'TRUE', 'COVID INACTIVE', '', 'SWAT', '', '', 'FALSE', '', '', '0', '', '', '', '', '', '', '', '1'),</v>
      </c>
    </row>
    <row r="55" spans="1:50" ht="38.25" x14ac:dyDescent="0.25">
      <c r="A55" s="2">
        <v>1322</v>
      </c>
      <c r="B55" s="3" t="s">
        <v>562</v>
      </c>
      <c r="C55" s="3" t="s">
        <v>563</v>
      </c>
      <c r="D55" s="3" t="s">
        <v>148</v>
      </c>
      <c r="E55" s="3" t="s">
        <v>564</v>
      </c>
      <c r="F55" s="3" t="s">
        <v>565</v>
      </c>
      <c r="G55" s="3" t="s">
        <v>50</v>
      </c>
      <c r="H55" s="4">
        <v>23111</v>
      </c>
      <c r="I55" s="3" t="s">
        <v>566</v>
      </c>
      <c r="J55" s="3" t="s">
        <v>567</v>
      </c>
      <c r="K55" s="5" t="s">
        <v>568</v>
      </c>
      <c r="L55" s="5" t="s">
        <v>569</v>
      </c>
      <c r="M55" s="3" t="s">
        <v>561</v>
      </c>
      <c r="N55" s="3" t="s">
        <v>52</v>
      </c>
      <c r="O55" s="3" t="s">
        <v>570</v>
      </c>
      <c r="P55" s="3" t="s">
        <v>52</v>
      </c>
      <c r="Q55" s="3" t="s">
        <v>52</v>
      </c>
      <c r="R55" s="3" t="s">
        <v>52</v>
      </c>
      <c r="S55" s="3" t="s">
        <v>52</v>
      </c>
      <c r="T55" s="3" t="s">
        <v>56</v>
      </c>
      <c r="U55" s="3" t="s">
        <v>89</v>
      </c>
      <c r="V55" s="3" t="s">
        <v>571</v>
      </c>
      <c r="W55" s="3" t="s">
        <v>52</v>
      </c>
      <c r="X55" s="3" t="s">
        <v>572</v>
      </c>
      <c r="Y55" s="3" t="s">
        <v>573</v>
      </c>
      <c r="Z55" s="3" t="s">
        <v>52</v>
      </c>
      <c r="AA55" s="3" t="s">
        <v>52</v>
      </c>
      <c r="AB55" s="3" t="s">
        <v>75</v>
      </c>
      <c r="AD55" s="7" t="b">
        <v>0</v>
      </c>
      <c r="AE55" s="7" t="b">
        <v>0</v>
      </c>
      <c r="AF55" s="7" t="b">
        <v>0</v>
      </c>
      <c r="AG55" s="3" t="s">
        <v>60</v>
      </c>
      <c r="AH55" s="3" t="s">
        <v>52</v>
      </c>
      <c r="AI55" s="3" t="s">
        <v>52</v>
      </c>
      <c r="AJ55" s="3" t="s">
        <v>52</v>
      </c>
      <c r="AK55" s="3" t="s">
        <v>52</v>
      </c>
      <c r="AL55" s="7" t="b">
        <v>0</v>
      </c>
      <c r="AM55" s="3" t="s">
        <v>237</v>
      </c>
      <c r="AO55" s="2">
        <v>0</v>
      </c>
      <c r="AQ55" s="3" t="s">
        <v>52</v>
      </c>
      <c r="AR55" s="3" t="s">
        <v>52</v>
      </c>
      <c r="AS55" s="3" t="s">
        <v>402</v>
      </c>
      <c r="AT55" s="3" t="s">
        <v>52</v>
      </c>
      <c r="AU55" s="9"/>
      <c r="AV55" s="9"/>
      <c r="AW55" s="9">
        <v>1</v>
      </c>
      <c r="AX55" t="str">
        <f t="shared" si="0"/>
        <v>('HIGGS', 'RODNEY', 'MINISTRY-SUNDAY SERVICE', '5494 MUZZLE COURT', 'MECHANICSVILLE', 'VA', '23111', '(757) 681-2576', '(804) 803-0378', '1/8/1965', '8/31/1999', 'Sun (2nd/5th) 8:00-9:15am HU3A/C/D; 9:30-10:45am HU3B/E/1CC/MH Men; 7:30-9:00pm HU5', '', 'Richmond Christian Center', '', '', '', '', 'Black', 'Male', '226-21-6039', '', '214 Cowardin Avenue, Richmond, VA', 'Steve Parson, Sr.', '', '', 'MINISTRY', '', 'FALSE', 'FALSE', 'FALSE', 'COVID INACTIVE', '', '', '', '', 'FALSE', 'January', '', '0', '', '', '', 'Christian', '', '', '', '1'),</v>
      </c>
    </row>
    <row r="56" spans="1:50" ht="25.5" x14ac:dyDescent="0.25">
      <c r="A56" s="2">
        <v>1323</v>
      </c>
      <c r="B56" s="3" t="s">
        <v>575</v>
      </c>
      <c r="C56" s="3" t="s">
        <v>576</v>
      </c>
      <c r="D56" s="3" t="s">
        <v>148</v>
      </c>
      <c r="E56" s="3" t="s">
        <v>577</v>
      </c>
      <c r="F56" s="3" t="s">
        <v>578</v>
      </c>
      <c r="G56" s="3" t="s">
        <v>50</v>
      </c>
      <c r="H56" s="4">
        <v>23883</v>
      </c>
      <c r="I56" s="3" t="s">
        <v>579</v>
      </c>
      <c r="J56" s="3" t="s">
        <v>52</v>
      </c>
      <c r="K56" s="5" t="s">
        <v>52</v>
      </c>
      <c r="L56" s="5" t="s">
        <v>52</v>
      </c>
      <c r="M56" s="3" t="s">
        <v>574</v>
      </c>
      <c r="N56" s="3" t="s">
        <v>52</v>
      </c>
      <c r="O56" s="3" t="s">
        <v>52</v>
      </c>
      <c r="P56" s="3" t="s">
        <v>52</v>
      </c>
      <c r="Q56" s="3" t="s">
        <v>52</v>
      </c>
      <c r="R56" s="3" t="s">
        <v>52</v>
      </c>
      <c r="S56" s="3" t="s">
        <v>52</v>
      </c>
      <c r="T56" s="3" t="s">
        <v>56</v>
      </c>
      <c r="U56" s="3" t="s">
        <v>89</v>
      </c>
      <c r="V56" s="3" t="s">
        <v>52</v>
      </c>
      <c r="W56" s="3" t="s">
        <v>52</v>
      </c>
      <c r="X56" s="3" t="s">
        <v>52</v>
      </c>
      <c r="Y56" s="3" t="s">
        <v>52</v>
      </c>
      <c r="Z56" s="3" t="s">
        <v>52</v>
      </c>
      <c r="AA56" s="3" t="s">
        <v>52</v>
      </c>
      <c r="AB56" s="3" t="s">
        <v>75</v>
      </c>
      <c r="AD56" s="7" t="b">
        <v>0</v>
      </c>
      <c r="AE56" s="7" t="b">
        <v>0</v>
      </c>
      <c r="AF56" s="7" t="b">
        <v>0</v>
      </c>
      <c r="AG56" s="3" t="s">
        <v>60</v>
      </c>
      <c r="AH56" s="3" t="s">
        <v>52</v>
      </c>
      <c r="AI56" s="3" t="s">
        <v>52</v>
      </c>
      <c r="AJ56" s="3" t="s">
        <v>52</v>
      </c>
      <c r="AK56" s="3" t="s">
        <v>52</v>
      </c>
      <c r="AL56" s="7" t="b">
        <v>0</v>
      </c>
      <c r="AM56" s="3" t="s">
        <v>52</v>
      </c>
      <c r="AO56" s="2">
        <v>0</v>
      </c>
      <c r="AQ56" s="3" t="s">
        <v>52</v>
      </c>
      <c r="AR56" s="3" t="s">
        <v>52</v>
      </c>
      <c r="AS56" s="3" t="s">
        <v>52</v>
      </c>
      <c r="AT56" s="3" t="s">
        <v>52</v>
      </c>
      <c r="AU56" s="9"/>
      <c r="AV56" s="9"/>
      <c r="AW56" s="9">
        <v>1</v>
      </c>
      <c r="AX56" t="str">
        <f t="shared" si="0"/>
        <v>('HILL', 'TERRY', 'MINISTRY-SUNDAY SERVICE', '280 OAKWOOD DRIVE', 'SURRY', 'VA', '23883', '(757) 294-3133', '', '', '', '3rd Sun 8:00-9:15am HU3A, C, D', '', '', '', '', '', '', 'Black', 'Male', '', '', '', '', '', '', 'MINISTRY', '', 'FALSE', 'FALSE', 'FALSE', 'COVID INACTIVE', '', '', '', '', 'FALSE', '', '', '0', '', '', '', '', '', '', '', '1'),</v>
      </c>
    </row>
    <row r="57" spans="1:50" ht="25.5" x14ac:dyDescent="0.25">
      <c r="A57" s="2">
        <v>1383</v>
      </c>
      <c r="B57" s="3" t="s">
        <v>580</v>
      </c>
      <c r="C57" s="3" t="s">
        <v>581</v>
      </c>
      <c r="D57" s="3" t="s">
        <v>541</v>
      </c>
      <c r="E57" s="3" t="s">
        <v>582</v>
      </c>
      <c r="F57" s="3" t="s">
        <v>222</v>
      </c>
      <c r="G57" s="3" t="s">
        <v>50</v>
      </c>
      <c r="H57" s="4">
        <v>23832</v>
      </c>
      <c r="I57" s="3" t="s">
        <v>52</v>
      </c>
      <c r="J57" s="3" t="s">
        <v>583</v>
      </c>
      <c r="K57" s="5" t="s">
        <v>584</v>
      </c>
      <c r="L57" s="5" t="s">
        <v>585</v>
      </c>
      <c r="M57" s="3" t="s">
        <v>477</v>
      </c>
      <c r="N57" s="3" t="s">
        <v>52</v>
      </c>
      <c r="O57" s="3" t="s">
        <v>52</v>
      </c>
      <c r="P57" s="3" t="s">
        <v>52</v>
      </c>
      <c r="Q57" s="3" t="s">
        <v>172</v>
      </c>
      <c r="R57" s="3" t="s">
        <v>52</v>
      </c>
      <c r="S57" s="3" t="s">
        <v>586</v>
      </c>
      <c r="T57" s="3" t="s">
        <v>56</v>
      </c>
      <c r="U57" s="3" t="s">
        <v>89</v>
      </c>
      <c r="V57" s="3" t="s">
        <v>587</v>
      </c>
      <c r="W57" s="3" t="s">
        <v>52</v>
      </c>
      <c r="X57" s="3" t="s">
        <v>52</v>
      </c>
      <c r="Y57" s="3" t="s">
        <v>52</v>
      </c>
      <c r="Z57" s="3" t="s">
        <v>52</v>
      </c>
      <c r="AA57" s="3" t="s">
        <v>52</v>
      </c>
      <c r="AB57" s="3" t="s">
        <v>59</v>
      </c>
      <c r="AD57" s="7" t="b">
        <v>0</v>
      </c>
      <c r="AE57" s="7" t="b">
        <v>0</v>
      </c>
      <c r="AF57" s="7" t="b">
        <v>0</v>
      </c>
      <c r="AG57" s="3" t="s">
        <v>91</v>
      </c>
      <c r="AH57" s="3" t="s">
        <v>52</v>
      </c>
      <c r="AI57" s="3" t="s">
        <v>52</v>
      </c>
      <c r="AJ57" s="3" t="s">
        <v>52</v>
      </c>
      <c r="AK57" s="3" t="s">
        <v>52</v>
      </c>
      <c r="AL57" s="7" t="b">
        <v>0</v>
      </c>
      <c r="AM57" s="3" t="s">
        <v>379</v>
      </c>
      <c r="AO57" s="2">
        <v>0</v>
      </c>
      <c r="AQ57" s="3" t="s">
        <v>52</v>
      </c>
      <c r="AR57" s="3" t="s">
        <v>52</v>
      </c>
      <c r="AS57" s="3" t="s">
        <v>52</v>
      </c>
      <c r="AT57" s="3" t="s">
        <v>52</v>
      </c>
      <c r="AU57" s="9"/>
      <c r="AV57" s="9"/>
      <c r="AW57" s="9">
        <v>1</v>
      </c>
      <c r="AX57" t="str">
        <f t="shared" si="0"/>
        <v>('HINES II', 'AUTIE', 'RE-ENTRY WORKFORCE', '7909 SOUTHFORD TERRANCE', 'CHESTERFIELD', 'VA', '23832', '', '(804) 822-7855', '9/14/1961', '9/14/2022', 'Wed 9:00am-3:00pm', '', '', '', 'MOU', '', 'ahines@mcmserves.org', 'Black', 'Male', '563-33-1052', '', '', '', '', '', 'SECULAR', '', 'FALSE', 'FALSE', 'FALSE', 'ACTIVE', '', '', '', '', 'FALSE', 'September', '', '0', '', '', '', '', '', '', '', '1'),</v>
      </c>
    </row>
    <row r="58" spans="1:50" ht="25.5" x14ac:dyDescent="0.25">
      <c r="A58" s="2">
        <v>1324</v>
      </c>
      <c r="B58" s="3" t="s">
        <v>589</v>
      </c>
      <c r="C58" s="3" t="s">
        <v>590</v>
      </c>
      <c r="D58" s="3" t="s">
        <v>148</v>
      </c>
      <c r="E58" s="3" t="s">
        <v>591</v>
      </c>
      <c r="F58" s="3" t="s">
        <v>49</v>
      </c>
      <c r="G58" s="3" t="s">
        <v>50</v>
      </c>
      <c r="H58" s="4">
        <v>23231</v>
      </c>
      <c r="I58" s="3" t="s">
        <v>592</v>
      </c>
      <c r="J58" s="3" t="s">
        <v>593</v>
      </c>
      <c r="K58" s="5" t="s">
        <v>52</v>
      </c>
      <c r="L58" s="5" t="s">
        <v>52</v>
      </c>
      <c r="M58" s="3" t="s">
        <v>588</v>
      </c>
      <c r="N58" s="3" t="s">
        <v>52</v>
      </c>
      <c r="O58" s="3" t="s">
        <v>52</v>
      </c>
      <c r="P58" s="3" t="s">
        <v>52</v>
      </c>
      <c r="Q58" s="3" t="s">
        <v>52</v>
      </c>
      <c r="R58" s="3" t="s">
        <v>52</v>
      </c>
      <c r="S58" s="3" t="s">
        <v>52</v>
      </c>
      <c r="T58" s="3" t="s">
        <v>56</v>
      </c>
      <c r="U58" s="3" t="s">
        <v>89</v>
      </c>
      <c r="V58" s="3" t="s">
        <v>52</v>
      </c>
      <c r="W58" s="3" t="s">
        <v>52</v>
      </c>
      <c r="X58" s="3" t="s">
        <v>52</v>
      </c>
      <c r="Y58" s="3" t="s">
        <v>52</v>
      </c>
      <c r="Z58" s="3" t="s">
        <v>52</v>
      </c>
      <c r="AA58" s="3" t="s">
        <v>52</v>
      </c>
      <c r="AB58" s="3" t="s">
        <v>75</v>
      </c>
      <c r="AD58" s="7" t="b">
        <v>0</v>
      </c>
      <c r="AE58" s="7" t="b">
        <v>0</v>
      </c>
      <c r="AF58" s="7" t="b">
        <v>0</v>
      </c>
      <c r="AG58" s="3" t="s">
        <v>60</v>
      </c>
      <c r="AH58" s="3" t="s">
        <v>52</v>
      </c>
      <c r="AI58" s="3" t="s">
        <v>52</v>
      </c>
      <c r="AJ58" s="3" t="s">
        <v>52</v>
      </c>
      <c r="AK58" s="3" t="s">
        <v>52</v>
      </c>
      <c r="AL58" s="7" t="b">
        <v>0</v>
      </c>
      <c r="AM58" s="3" t="s">
        <v>52</v>
      </c>
      <c r="AO58" s="2">
        <v>0</v>
      </c>
      <c r="AQ58" s="3" t="s">
        <v>52</v>
      </c>
      <c r="AR58" s="3" t="s">
        <v>52</v>
      </c>
      <c r="AS58" s="3" t="s">
        <v>52</v>
      </c>
      <c r="AT58" s="3" t="s">
        <v>52</v>
      </c>
      <c r="AU58" s="9"/>
      <c r="AV58" s="9"/>
      <c r="AW58" s="9">
        <v>1</v>
      </c>
      <c r="AX58" t="str">
        <f t="shared" si="0"/>
        <v>('HOLMES', 'WILLIAM', 'MINISTRY-SUNDAY SERVICE', '8100 COUNTRYSIDE CROSSINGS COURT', 'RICHMOND', 'VA', '23231', '(804) 507-0517', '(804) 389-1978', '', '', 'Alternate', '', '', '', '', '', '', 'Black', 'Male', '', '', '', '', '', '', 'MINISTRY', '', 'FALSE', 'FALSE', 'FALSE', 'COVID INACTIVE', '', '', '', '', 'FALSE', '', '', '0', '', '', '', '', '', '', '', '1'),</v>
      </c>
    </row>
    <row r="59" spans="1:50" ht="25.5" x14ac:dyDescent="0.25">
      <c r="A59" s="2">
        <v>1245</v>
      </c>
      <c r="B59" s="3" t="s">
        <v>594</v>
      </c>
      <c r="C59" s="3" t="s">
        <v>595</v>
      </c>
      <c r="D59" s="3" t="s">
        <v>96</v>
      </c>
      <c r="E59" s="3" t="s">
        <v>596</v>
      </c>
      <c r="F59" s="3" t="s">
        <v>68</v>
      </c>
      <c r="G59" s="3" t="s">
        <v>50</v>
      </c>
      <c r="H59" s="4">
        <v>23803</v>
      </c>
      <c r="I59" s="3" t="s">
        <v>597</v>
      </c>
      <c r="J59" s="3" t="s">
        <v>52</v>
      </c>
      <c r="K59" s="5" t="s">
        <v>598</v>
      </c>
      <c r="L59" s="5" t="s">
        <v>599</v>
      </c>
      <c r="M59" s="3" t="s">
        <v>381</v>
      </c>
      <c r="N59" s="3" t="s">
        <v>52</v>
      </c>
      <c r="O59" s="3" t="s">
        <v>52</v>
      </c>
      <c r="P59" s="3" t="s">
        <v>52</v>
      </c>
      <c r="Q59" s="3" t="s">
        <v>102</v>
      </c>
      <c r="R59" s="3" t="s">
        <v>52</v>
      </c>
      <c r="S59" s="3" t="s">
        <v>52</v>
      </c>
      <c r="T59" s="3" t="s">
        <v>56</v>
      </c>
      <c r="U59" s="3" t="s">
        <v>89</v>
      </c>
      <c r="V59" s="3" t="s">
        <v>600</v>
      </c>
      <c r="W59" s="3" t="s">
        <v>52</v>
      </c>
      <c r="X59" s="3" t="s">
        <v>52</v>
      </c>
      <c r="Y59" s="3" t="s">
        <v>52</v>
      </c>
      <c r="Z59" s="3" t="s">
        <v>52</v>
      </c>
      <c r="AA59" s="3" t="s">
        <v>52</v>
      </c>
      <c r="AB59" s="3" t="s">
        <v>59</v>
      </c>
      <c r="AD59" s="7" t="b">
        <v>1</v>
      </c>
      <c r="AE59" s="7" t="b">
        <v>0</v>
      </c>
      <c r="AF59" s="7" t="b">
        <v>0</v>
      </c>
      <c r="AG59" s="3" t="s">
        <v>60</v>
      </c>
      <c r="AH59" s="3" t="s">
        <v>52</v>
      </c>
      <c r="AI59" s="3" t="s">
        <v>52</v>
      </c>
      <c r="AJ59" s="3" t="s">
        <v>52</v>
      </c>
      <c r="AK59" s="3" t="s">
        <v>52</v>
      </c>
      <c r="AL59" s="7" t="b">
        <v>0</v>
      </c>
      <c r="AM59" s="3" t="s">
        <v>144</v>
      </c>
      <c r="AO59" s="2">
        <v>0</v>
      </c>
      <c r="AQ59" s="3" t="s">
        <v>76</v>
      </c>
      <c r="AR59" s="3" t="s">
        <v>77</v>
      </c>
      <c r="AS59" s="3" t="s">
        <v>52</v>
      </c>
      <c r="AT59" s="3" t="s">
        <v>52</v>
      </c>
      <c r="AU59" s="9"/>
      <c r="AV59" s="9"/>
      <c r="AW59" s="9">
        <v>1</v>
      </c>
      <c r="AX59" t="str">
        <f t="shared" si="0"/>
        <v>('HUCKS', 'STAFFORD', 'NA MEETINGS', '128 S SYCAMORE STREET', 'PETERSBURG', 'VA', '23803', '(804) 895-5837', '', '7/20/1957', '12/6/2017', '1st &amp; 3rd Wed or 2nd &amp; 4th Sun 7:30pm-8:30pm', '', '', '', 'Life Experiences', '', '', 'Black', 'Male', '579-86-7630', '', '', '', '', '', 'SECULAR', '', 'TRUE', 'FALSE', 'FALSE', 'COVID INACTIVE', '', '', '', '', 'FALSE', 'July', '', '0', '', 'Main Jail', 'HU6', '', '', '', '', '1'),</v>
      </c>
    </row>
    <row r="60" spans="1:50" ht="25.5" x14ac:dyDescent="0.25">
      <c r="A60" s="2">
        <v>1325</v>
      </c>
      <c r="B60" s="3" t="s">
        <v>602</v>
      </c>
      <c r="C60" s="3" t="s">
        <v>603</v>
      </c>
      <c r="D60" s="3" t="s">
        <v>148</v>
      </c>
      <c r="E60" s="3" t="s">
        <v>604</v>
      </c>
      <c r="F60" s="3" t="s">
        <v>605</v>
      </c>
      <c r="G60" s="3" t="s">
        <v>50</v>
      </c>
      <c r="H60" s="4">
        <v>23803</v>
      </c>
      <c r="I60" s="3" t="s">
        <v>606</v>
      </c>
      <c r="J60" s="3" t="s">
        <v>52</v>
      </c>
      <c r="K60" s="5" t="s">
        <v>52</v>
      </c>
      <c r="L60" s="5" t="s">
        <v>52</v>
      </c>
      <c r="M60" s="3" t="s">
        <v>601</v>
      </c>
      <c r="N60" s="3" t="s">
        <v>52</v>
      </c>
      <c r="O60" s="3" t="s">
        <v>52</v>
      </c>
      <c r="P60" s="3" t="s">
        <v>52</v>
      </c>
      <c r="Q60" s="3" t="s">
        <v>52</v>
      </c>
      <c r="R60" s="3" t="s">
        <v>52</v>
      </c>
      <c r="S60" s="3" t="s">
        <v>52</v>
      </c>
      <c r="T60" s="3" t="s">
        <v>52</v>
      </c>
      <c r="U60" s="3" t="s">
        <v>52</v>
      </c>
      <c r="V60" s="3" t="s">
        <v>52</v>
      </c>
      <c r="W60" s="3" t="s">
        <v>52</v>
      </c>
      <c r="X60" s="3" t="s">
        <v>52</v>
      </c>
      <c r="Y60" s="3" t="s">
        <v>52</v>
      </c>
      <c r="Z60" s="3" t="s">
        <v>52</v>
      </c>
      <c r="AA60" s="3" t="s">
        <v>52</v>
      </c>
      <c r="AB60" s="3" t="s">
        <v>75</v>
      </c>
      <c r="AD60" s="7" t="b">
        <v>0</v>
      </c>
      <c r="AE60" s="7" t="b">
        <v>0</v>
      </c>
      <c r="AF60" s="7" t="b">
        <v>0</v>
      </c>
      <c r="AG60" s="3" t="s">
        <v>60</v>
      </c>
      <c r="AH60" s="3" t="s">
        <v>52</v>
      </c>
      <c r="AI60" s="3" t="s">
        <v>52</v>
      </c>
      <c r="AJ60" s="3" t="s">
        <v>52</v>
      </c>
      <c r="AK60" s="3" t="s">
        <v>52</v>
      </c>
      <c r="AL60" s="7" t="b">
        <v>0</v>
      </c>
      <c r="AM60" s="3" t="s">
        <v>52</v>
      </c>
      <c r="AO60" s="2">
        <v>0</v>
      </c>
      <c r="AQ60" s="3" t="s">
        <v>52</v>
      </c>
      <c r="AR60" s="3" t="s">
        <v>52</v>
      </c>
      <c r="AS60" s="3" t="s">
        <v>52</v>
      </c>
      <c r="AT60" s="3" t="s">
        <v>52</v>
      </c>
      <c r="AU60" s="9"/>
      <c r="AV60" s="9"/>
      <c r="AW60" s="9">
        <v>1</v>
      </c>
      <c r="AX60" t="str">
        <f t="shared" si="0"/>
        <v>('HUMPHRIES', 'PENNY', 'MINISTRY-SUNDAY SERVICE', '9903 RIVER ROAD', 'SOUTH CHESTERFIELD', 'VA', '23803', '(804) 691-1324', '', '', '', '3rd Sun 2:00-3:45pm HU1B', '', '', '', '', '', '', '', '', '', '', '', '', '', '', 'MINISTRY', '', 'FALSE', 'FALSE', 'FALSE', 'COVID INACTIVE', '', '', '', '', 'FALSE', '', '', '0', '', '', '', '', '', '', '', '1'),</v>
      </c>
    </row>
    <row r="61" spans="1:50" ht="25.5" x14ac:dyDescent="0.25">
      <c r="A61" s="2">
        <v>1208</v>
      </c>
      <c r="B61" s="3" t="s">
        <v>608</v>
      </c>
      <c r="C61" s="3" t="s">
        <v>609</v>
      </c>
      <c r="D61" s="3" t="s">
        <v>610</v>
      </c>
      <c r="E61" s="3" t="s">
        <v>611</v>
      </c>
      <c r="F61" s="3" t="s">
        <v>68</v>
      </c>
      <c r="G61" s="3" t="s">
        <v>50</v>
      </c>
      <c r="H61" s="4">
        <v>23803</v>
      </c>
      <c r="I61" s="3" t="s">
        <v>612</v>
      </c>
      <c r="J61" s="3" t="s">
        <v>52</v>
      </c>
      <c r="K61" s="5" t="s">
        <v>613</v>
      </c>
      <c r="L61" s="5" t="s">
        <v>235</v>
      </c>
      <c r="M61" s="3" t="s">
        <v>607</v>
      </c>
      <c r="N61" s="3" t="s">
        <v>52</v>
      </c>
      <c r="O61" s="3" t="s">
        <v>52</v>
      </c>
      <c r="P61" s="3" t="s">
        <v>52</v>
      </c>
      <c r="Q61" s="3" t="s">
        <v>102</v>
      </c>
      <c r="R61" s="3" t="s">
        <v>52</v>
      </c>
      <c r="S61" s="3" t="s">
        <v>52</v>
      </c>
      <c r="T61" s="3" t="s">
        <v>56</v>
      </c>
      <c r="U61" s="3" t="s">
        <v>89</v>
      </c>
      <c r="V61" s="3" t="s">
        <v>614</v>
      </c>
      <c r="W61" s="3" t="s">
        <v>52</v>
      </c>
      <c r="X61" s="3" t="s">
        <v>52</v>
      </c>
      <c r="Y61" s="3" t="s">
        <v>52</v>
      </c>
      <c r="Z61" s="3" t="s">
        <v>52</v>
      </c>
      <c r="AA61" s="3" t="s">
        <v>52</v>
      </c>
      <c r="AB61" s="3" t="s">
        <v>59</v>
      </c>
      <c r="AD61" s="7" t="b">
        <v>1</v>
      </c>
      <c r="AE61" s="7" t="b">
        <v>0</v>
      </c>
      <c r="AF61" s="7" t="b">
        <v>0</v>
      </c>
      <c r="AG61" s="3" t="s">
        <v>60</v>
      </c>
      <c r="AH61" s="3" t="s">
        <v>52</v>
      </c>
      <c r="AI61" s="3" t="s">
        <v>52</v>
      </c>
      <c r="AJ61" s="3" t="s">
        <v>52</v>
      </c>
      <c r="AK61" s="3" t="s">
        <v>52</v>
      </c>
      <c r="AL61" s="7" t="b">
        <v>0</v>
      </c>
      <c r="AM61" s="3" t="s">
        <v>615</v>
      </c>
      <c r="AO61" s="2">
        <v>0</v>
      </c>
      <c r="AQ61" s="3" t="s">
        <v>52</v>
      </c>
      <c r="AR61" s="3" t="s">
        <v>52</v>
      </c>
      <c r="AS61" s="3" t="s">
        <v>52</v>
      </c>
      <c r="AT61" s="3" t="s">
        <v>52</v>
      </c>
      <c r="AU61" s="9"/>
      <c r="AV61" s="9"/>
      <c r="AW61" s="9">
        <v>1</v>
      </c>
      <c r="AX61" t="str">
        <f t="shared" si="0"/>
        <v>('JACKSON', 'LORENZO', 'ALAMO RECOVERY CENTER/ AA MEETINGS/ANGER MANAGEMENT GROUP', '35 SOUTH MARKET STREET', 'PETERSBURG', 'VA', '23803', '(804) 479-2342', '', '4/18/1960', '8/17/2016', '3rd Fri 9:00am-11:30am/Fri 7:30pm-8:30pm', '', '', '', 'Life Experiences', '', '', 'Black', 'Male', '228-06-4047', '', '', '', '', '', 'SECULAR', '', 'TRUE', 'FALSE', 'FALSE', 'COVID INACTIVE', '', '', '', '', 'FALSE', 'April', '', '0', '', '', '', '', '', '', '', '1'),</v>
      </c>
    </row>
    <row r="62" spans="1:50" ht="25.5" x14ac:dyDescent="0.25">
      <c r="A62" s="2">
        <v>1327</v>
      </c>
      <c r="B62" s="3" t="s">
        <v>608</v>
      </c>
      <c r="C62" s="3" t="s">
        <v>617</v>
      </c>
      <c r="D62" s="3" t="s">
        <v>148</v>
      </c>
      <c r="E62" s="3" t="s">
        <v>618</v>
      </c>
      <c r="F62" s="3" t="s">
        <v>619</v>
      </c>
      <c r="G62" s="3" t="s">
        <v>50</v>
      </c>
      <c r="H62" s="4">
        <v>23114</v>
      </c>
      <c r="I62" s="3" t="s">
        <v>620</v>
      </c>
      <c r="J62" s="3" t="s">
        <v>621</v>
      </c>
      <c r="K62" s="5" t="s">
        <v>622</v>
      </c>
      <c r="L62" s="5" t="s">
        <v>623</v>
      </c>
      <c r="M62" s="3" t="s">
        <v>616</v>
      </c>
      <c r="N62" s="3" t="s">
        <v>52</v>
      </c>
      <c r="O62" s="3" t="s">
        <v>624</v>
      </c>
      <c r="P62" s="3" t="s">
        <v>52</v>
      </c>
      <c r="Q62" s="3" t="s">
        <v>52</v>
      </c>
      <c r="R62" s="3" t="s">
        <v>52</v>
      </c>
      <c r="S62" s="3" t="s">
        <v>625</v>
      </c>
      <c r="T62" s="3" t="s">
        <v>56</v>
      </c>
      <c r="U62" s="3" t="s">
        <v>57</v>
      </c>
      <c r="V62" s="3" t="s">
        <v>626</v>
      </c>
      <c r="W62" s="3" t="s">
        <v>52</v>
      </c>
      <c r="X62" s="3" t="s">
        <v>627</v>
      </c>
      <c r="Y62" s="3" t="s">
        <v>628</v>
      </c>
      <c r="Z62" s="3" t="s">
        <v>620</v>
      </c>
      <c r="AA62" s="3" t="s">
        <v>52</v>
      </c>
      <c r="AB62" s="3" t="s">
        <v>75</v>
      </c>
      <c r="AD62" s="7" t="b">
        <v>0</v>
      </c>
      <c r="AE62" s="7" t="b">
        <v>0</v>
      </c>
      <c r="AF62" s="7" t="b">
        <v>0</v>
      </c>
      <c r="AG62" s="3" t="s">
        <v>60</v>
      </c>
      <c r="AH62" s="3" t="s">
        <v>52</v>
      </c>
      <c r="AI62" s="3" t="s">
        <v>52</v>
      </c>
      <c r="AJ62" s="3" t="s">
        <v>52</v>
      </c>
      <c r="AK62" s="3" t="s">
        <v>52</v>
      </c>
      <c r="AL62" s="7" t="b">
        <v>0</v>
      </c>
      <c r="AM62" s="3" t="s">
        <v>131</v>
      </c>
      <c r="AO62" s="2">
        <v>0</v>
      </c>
      <c r="AQ62" s="3" t="s">
        <v>52</v>
      </c>
      <c r="AR62" s="3" t="s">
        <v>52</v>
      </c>
      <c r="AS62" s="3" t="s">
        <v>52</v>
      </c>
      <c r="AT62" s="3" t="s">
        <v>52</v>
      </c>
      <c r="AU62" s="9"/>
      <c r="AV62" s="9"/>
      <c r="AW62" s="9">
        <v>1</v>
      </c>
      <c r="AX62" t="str">
        <f t="shared" si="0"/>
        <v>('JACKSON', 'ELIZABETH', 'MINISTRY-SUNDAY SERVICE', '500 GLENMEADOW TERRACE', 'MIDLOTHIAN', 'VA', '23114', '(804) 794-8213', '(804) 551-1611', '5/13/1948', '2/2/2004', '4th Sun 9:30-10:45am HU1CB &amp; MH females', '', 'Abundant Life Church of Christ', '', '', '', 'einnabj@gmail.com', 'Black', 'Female', '010-40-2774', '', '3300 Neale Street, Mechanicsville, VA', 'Steve Foreman', '(804) 794-8213', '', 'MINISTRY', '', 'FALSE', 'FALSE', 'FALSE', 'COVID INACTIVE', '', '', '', '', 'FALSE', 'May', '', '0', '', '', '', '', '', '', '', '1'),</v>
      </c>
    </row>
    <row r="63" spans="1:50" ht="25.5" x14ac:dyDescent="0.25">
      <c r="A63" s="2">
        <v>1328</v>
      </c>
      <c r="B63" s="3" t="s">
        <v>608</v>
      </c>
      <c r="C63" s="3" t="s">
        <v>630</v>
      </c>
      <c r="D63" s="3" t="s">
        <v>148</v>
      </c>
      <c r="E63" s="3" t="s">
        <v>618</v>
      </c>
      <c r="F63" s="3" t="s">
        <v>619</v>
      </c>
      <c r="G63" s="3" t="s">
        <v>50</v>
      </c>
      <c r="H63" s="4">
        <v>23114</v>
      </c>
      <c r="I63" s="3" t="s">
        <v>631</v>
      </c>
      <c r="J63" s="3" t="s">
        <v>631</v>
      </c>
      <c r="K63" s="5" t="s">
        <v>632</v>
      </c>
      <c r="L63" s="5" t="s">
        <v>633</v>
      </c>
      <c r="M63" s="3" t="s">
        <v>629</v>
      </c>
      <c r="N63" s="3" t="s">
        <v>52</v>
      </c>
      <c r="O63" s="3" t="s">
        <v>624</v>
      </c>
      <c r="P63" s="3" t="s">
        <v>52</v>
      </c>
      <c r="Q63" s="3" t="s">
        <v>52</v>
      </c>
      <c r="R63" s="3" t="s">
        <v>52</v>
      </c>
      <c r="S63" s="3" t="s">
        <v>634</v>
      </c>
      <c r="T63" s="3" t="s">
        <v>56</v>
      </c>
      <c r="U63" s="3" t="s">
        <v>89</v>
      </c>
      <c r="V63" s="3" t="s">
        <v>635</v>
      </c>
      <c r="W63" s="3" t="s">
        <v>52</v>
      </c>
      <c r="X63" s="3" t="s">
        <v>627</v>
      </c>
      <c r="Y63" s="3" t="s">
        <v>628</v>
      </c>
      <c r="Z63" s="3" t="s">
        <v>620</v>
      </c>
      <c r="AA63" s="3" t="s">
        <v>52</v>
      </c>
      <c r="AB63" s="3" t="s">
        <v>75</v>
      </c>
      <c r="AD63" s="7" t="b">
        <v>0</v>
      </c>
      <c r="AE63" s="7" t="b">
        <v>0</v>
      </c>
      <c r="AF63" s="7" t="b">
        <v>0</v>
      </c>
      <c r="AG63" s="3" t="s">
        <v>60</v>
      </c>
      <c r="AH63" s="3" t="s">
        <v>52</v>
      </c>
      <c r="AI63" s="3" t="s">
        <v>52</v>
      </c>
      <c r="AJ63" s="3" t="s">
        <v>52</v>
      </c>
      <c r="AK63" s="3" t="s">
        <v>52</v>
      </c>
      <c r="AL63" s="7" t="b">
        <v>0</v>
      </c>
      <c r="AM63" s="3" t="s">
        <v>176</v>
      </c>
      <c r="AO63" s="2">
        <v>0</v>
      </c>
      <c r="AQ63" s="3" t="s">
        <v>52</v>
      </c>
      <c r="AR63" s="3" t="s">
        <v>52</v>
      </c>
      <c r="AS63" s="3" t="s">
        <v>402</v>
      </c>
      <c r="AT63" s="3" t="s">
        <v>52</v>
      </c>
      <c r="AU63" s="9"/>
      <c r="AV63" s="9"/>
      <c r="AW63" s="9">
        <v>1</v>
      </c>
      <c r="AX63" t="str">
        <f t="shared" si="0"/>
        <v>('JACKSON', 'SOLLY', 'MINISTRY-SUNDAY SERVICE', '500 GLENMEADOW TERRACE', 'MIDLOTHIAN', 'VA', '23114', '(804) 382-5144', '(804) 382-5144', '11/17/1946', '6/8/2004', '4TH SUN 9:30-10:45AM HU2A', '', 'Abundant Life Church of Christ', '', '', '', 'sollyvj1@gmail.com', 'Black', 'Male', '224-64-5381', '', '3300 Neale Street, Mechanicsville, VA', 'Steve Foreman', '(804) 794-8213', '', 'MINISTRY', '', 'FALSE', 'FALSE', 'FALSE', 'COVID INACTIVE', '', '', '', '', 'FALSE', 'November', '', '0', '', '', '', 'Christian', '', '', '', '1'),</v>
      </c>
    </row>
    <row r="64" spans="1:50" ht="25.5" x14ac:dyDescent="0.25">
      <c r="A64" s="2">
        <v>1326</v>
      </c>
      <c r="B64" s="3" t="s">
        <v>637</v>
      </c>
      <c r="C64" s="3" t="s">
        <v>638</v>
      </c>
      <c r="D64" s="3" t="s">
        <v>148</v>
      </c>
      <c r="E64" s="3" t="s">
        <v>639</v>
      </c>
      <c r="F64" s="3" t="s">
        <v>222</v>
      </c>
      <c r="G64" s="3" t="s">
        <v>50</v>
      </c>
      <c r="H64" s="4">
        <v>23832</v>
      </c>
      <c r="I64" s="3" t="s">
        <v>640</v>
      </c>
      <c r="J64" s="3" t="s">
        <v>52</v>
      </c>
      <c r="K64" s="5" t="s">
        <v>52</v>
      </c>
      <c r="L64" s="5" t="s">
        <v>52</v>
      </c>
      <c r="M64" s="3" t="s">
        <v>636</v>
      </c>
      <c r="N64" s="3" t="s">
        <v>52</v>
      </c>
      <c r="O64" s="3" t="s">
        <v>52</v>
      </c>
      <c r="P64" s="3" t="s">
        <v>52</v>
      </c>
      <c r="Q64" s="3" t="s">
        <v>52</v>
      </c>
      <c r="R64" s="3" t="s">
        <v>52</v>
      </c>
      <c r="S64" s="3" t="s">
        <v>52</v>
      </c>
      <c r="T64" s="3" t="s">
        <v>52</v>
      </c>
      <c r="U64" s="3" t="s">
        <v>52</v>
      </c>
      <c r="V64" s="3" t="s">
        <v>52</v>
      </c>
      <c r="W64" s="3" t="s">
        <v>52</v>
      </c>
      <c r="X64" s="3" t="s">
        <v>52</v>
      </c>
      <c r="Y64" s="3" t="s">
        <v>52</v>
      </c>
      <c r="Z64" s="3" t="s">
        <v>52</v>
      </c>
      <c r="AA64" s="3" t="s">
        <v>52</v>
      </c>
      <c r="AB64" s="3" t="s">
        <v>75</v>
      </c>
      <c r="AD64" s="7" t="b">
        <v>0</v>
      </c>
      <c r="AE64" s="7" t="b">
        <v>0</v>
      </c>
      <c r="AF64" s="7" t="b">
        <v>0</v>
      </c>
      <c r="AG64" s="3" t="s">
        <v>60</v>
      </c>
      <c r="AH64" s="3" t="s">
        <v>52</v>
      </c>
      <c r="AI64" s="3" t="s">
        <v>52</v>
      </c>
      <c r="AJ64" s="3" t="s">
        <v>52</v>
      </c>
      <c r="AK64" s="3" t="s">
        <v>52</v>
      </c>
      <c r="AL64" s="7" t="b">
        <v>0</v>
      </c>
      <c r="AM64" s="3" t="s">
        <v>52</v>
      </c>
      <c r="AO64" s="2">
        <v>0</v>
      </c>
      <c r="AQ64" s="3" t="s">
        <v>52</v>
      </c>
      <c r="AR64" s="3" t="s">
        <v>52</v>
      </c>
      <c r="AS64" s="3" t="s">
        <v>52</v>
      </c>
      <c r="AT64" s="3" t="s">
        <v>52</v>
      </c>
      <c r="AU64" s="9"/>
      <c r="AV64" s="9"/>
      <c r="AW64" s="9">
        <v>1</v>
      </c>
      <c r="AX64" t="str">
        <f t="shared" si="0"/>
        <v>('JACKSON JR.', 'BENJAMIN', 'MINISTRY-SUNDAY SERVICE', '5501 DUNROMING COURT', 'CHESTERFIELD', 'VA', '23832', '(804) 349-8024', '', '', '', 'Sun 8:00-9:15am HU2D &amp; E', '', '', '', '', '', '', '', '', '', '', '', '', '', '', 'MINISTRY', '', 'FALSE', 'FALSE', 'FALSE', 'COVID INACTIVE', '', '', '', '', 'FALSE', '', '', '0', '', '', '', '', '', '', '', '1'),</v>
      </c>
    </row>
    <row r="65" spans="1:50" ht="63.75" x14ac:dyDescent="0.25">
      <c r="A65" s="2">
        <v>1329</v>
      </c>
      <c r="B65" s="3" t="s">
        <v>642</v>
      </c>
      <c r="C65" s="3" t="s">
        <v>643</v>
      </c>
      <c r="D65" s="3" t="s">
        <v>644</v>
      </c>
      <c r="E65" s="3" t="s">
        <v>645</v>
      </c>
      <c r="F65" s="3" t="s">
        <v>646</v>
      </c>
      <c r="G65" s="3" t="s">
        <v>647</v>
      </c>
      <c r="H65" s="4">
        <v>76712</v>
      </c>
      <c r="I65" s="3" t="s">
        <v>648</v>
      </c>
      <c r="J65" s="3" t="s">
        <v>648</v>
      </c>
      <c r="K65" s="5" t="s">
        <v>52</v>
      </c>
      <c r="L65" s="5" t="s">
        <v>52</v>
      </c>
      <c r="M65" s="3" t="s">
        <v>641</v>
      </c>
      <c r="N65" s="3" t="s">
        <v>52</v>
      </c>
      <c r="O65" s="3" t="s">
        <v>52</v>
      </c>
      <c r="P65" s="3" t="s">
        <v>52</v>
      </c>
      <c r="Q65" s="3" t="s">
        <v>52</v>
      </c>
      <c r="R65" s="3" t="s">
        <v>52</v>
      </c>
      <c r="S65" s="3" t="s">
        <v>52</v>
      </c>
      <c r="T65" s="3" t="s">
        <v>52</v>
      </c>
      <c r="U65" s="3" t="s">
        <v>52</v>
      </c>
      <c r="V65" s="3" t="s">
        <v>52</v>
      </c>
      <c r="W65" s="3" t="s">
        <v>52</v>
      </c>
      <c r="X65" s="3" t="s">
        <v>52</v>
      </c>
      <c r="Y65" s="3" t="s">
        <v>52</v>
      </c>
      <c r="Z65" s="3" t="s">
        <v>52</v>
      </c>
      <c r="AA65" s="3" t="s">
        <v>52</v>
      </c>
      <c r="AB65" s="3" t="s">
        <v>75</v>
      </c>
      <c r="AD65" s="7" t="b">
        <v>0</v>
      </c>
      <c r="AE65" s="7" t="b">
        <v>0</v>
      </c>
      <c r="AF65" s="7" t="b">
        <v>0</v>
      </c>
      <c r="AG65" s="3" t="s">
        <v>60</v>
      </c>
      <c r="AH65" s="3" t="s">
        <v>52</v>
      </c>
      <c r="AI65" s="3" t="s">
        <v>649</v>
      </c>
      <c r="AJ65" s="3" t="s">
        <v>52</v>
      </c>
      <c r="AK65" s="3" t="s">
        <v>52</v>
      </c>
      <c r="AL65" s="7" t="b">
        <v>0</v>
      </c>
      <c r="AM65" s="3" t="s">
        <v>52</v>
      </c>
      <c r="AO65" s="2">
        <v>0</v>
      </c>
      <c r="AQ65" s="3" t="s">
        <v>52</v>
      </c>
      <c r="AR65" s="3" t="s">
        <v>52</v>
      </c>
      <c r="AS65" s="3" t="s">
        <v>52</v>
      </c>
      <c r="AT65" s="3" t="s">
        <v>52</v>
      </c>
      <c r="AU65" s="9"/>
      <c r="AV65" s="9"/>
      <c r="AW65" s="9">
        <v>1</v>
      </c>
      <c r="AX65" t="str">
        <f t="shared" si="0"/>
        <v>('JANG', 'SUNG JOON', 'MINISTRY-RESEARCH TRAUMA HEALING', '6504 COSTA DRIVE', 'WACO', 'TX', '76712', '(225) 603-9910', '(225) 603-9910', '', '', 'AS REQUESTED', '', '', '', '', '', '', '', '', '', '', '', '', '', '', 'MINISTRY', '', 'FALSE', 'FALSE', 'FALSE', 'COVID INACTIVE', '', 'BAYLOR UNIVERSITY/AMERICAN BIBLE SOCIETY', '', '', 'FALSE', '', '', '0', '', '', '', '', '', '', '', '1'),</v>
      </c>
    </row>
    <row r="66" spans="1:50" ht="25.5" x14ac:dyDescent="0.25">
      <c r="A66" s="2">
        <v>1330</v>
      </c>
      <c r="B66" s="3" t="s">
        <v>651</v>
      </c>
      <c r="C66" s="3" t="s">
        <v>652</v>
      </c>
      <c r="D66" s="3" t="s">
        <v>148</v>
      </c>
      <c r="E66" s="3" t="s">
        <v>653</v>
      </c>
      <c r="F66" s="3" t="s">
        <v>605</v>
      </c>
      <c r="G66" s="3" t="s">
        <v>50</v>
      </c>
      <c r="H66" s="4">
        <v>23803</v>
      </c>
      <c r="I66" s="3" t="s">
        <v>654</v>
      </c>
      <c r="J66" s="3" t="s">
        <v>655</v>
      </c>
      <c r="K66" s="5" t="s">
        <v>52</v>
      </c>
      <c r="L66" s="5" t="s">
        <v>52</v>
      </c>
      <c r="M66" s="3" t="s">
        <v>650</v>
      </c>
      <c r="N66" s="3" t="s">
        <v>52</v>
      </c>
      <c r="O66" s="3" t="s">
        <v>52</v>
      </c>
      <c r="P66" s="3" t="s">
        <v>52</v>
      </c>
      <c r="Q66" s="3" t="s">
        <v>52</v>
      </c>
      <c r="R66" s="3" t="s">
        <v>52</v>
      </c>
      <c r="S66" s="3" t="s">
        <v>52</v>
      </c>
      <c r="T66" s="3" t="s">
        <v>52</v>
      </c>
      <c r="U66" s="3" t="s">
        <v>52</v>
      </c>
      <c r="V66" s="3" t="s">
        <v>52</v>
      </c>
      <c r="W66" s="3" t="s">
        <v>52</v>
      </c>
      <c r="X66" s="3" t="s">
        <v>52</v>
      </c>
      <c r="Y66" s="3" t="s">
        <v>52</v>
      </c>
      <c r="Z66" s="3" t="s">
        <v>52</v>
      </c>
      <c r="AA66" s="3" t="s">
        <v>52</v>
      </c>
      <c r="AB66" s="3" t="s">
        <v>75</v>
      </c>
      <c r="AD66" s="7" t="b">
        <v>0</v>
      </c>
      <c r="AE66" s="7" t="b">
        <v>0</v>
      </c>
      <c r="AF66" s="7" t="b">
        <v>0</v>
      </c>
      <c r="AG66" s="3" t="s">
        <v>60</v>
      </c>
      <c r="AH66" s="3" t="s">
        <v>52</v>
      </c>
      <c r="AI66" s="3" t="s">
        <v>52</v>
      </c>
      <c r="AJ66" s="3" t="s">
        <v>52</v>
      </c>
      <c r="AK66" s="3" t="s">
        <v>52</v>
      </c>
      <c r="AL66" s="7" t="b">
        <v>0</v>
      </c>
      <c r="AM66" s="3" t="s">
        <v>52</v>
      </c>
      <c r="AO66" s="2">
        <v>0</v>
      </c>
      <c r="AQ66" s="3" t="s">
        <v>52</v>
      </c>
      <c r="AR66" s="3" t="s">
        <v>52</v>
      </c>
      <c r="AS66" s="3" t="s">
        <v>52</v>
      </c>
      <c r="AT66" s="3" t="s">
        <v>52</v>
      </c>
      <c r="AU66" s="9"/>
      <c r="AV66" s="9"/>
      <c r="AW66" s="9">
        <v>1</v>
      </c>
      <c r="AX66" t="str">
        <f t="shared" si="0"/>
        <v>('JARMON', 'NYLES', 'MINISTRY-SUNDAY SERVICE', '20306 STONEWOOD MANOR DRIVE', 'SOUTH CHESTERFIELD', 'VA', '23803', '(804) 479-2162', '(804) 720-3404', '', '', 'SUN 7:30-9:00pm HU2B', '', '', '', '', '', '', '', '', '', '', '', '', '', '', 'MINISTRY', '', 'FALSE', 'FALSE', 'FALSE', 'COVID INACTIVE', '', '', '', '', 'FALSE', '', '', '0', '', '', '', '', '', '', '', '1'),</v>
      </c>
    </row>
    <row r="67" spans="1:50" ht="25.5" x14ac:dyDescent="0.25">
      <c r="A67" s="2">
        <v>1331</v>
      </c>
      <c r="B67" s="3" t="s">
        <v>657</v>
      </c>
      <c r="C67" s="3" t="s">
        <v>658</v>
      </c>
      <c r="D67" s="3" t="s">
        <v>148</v>
      </c>
      <c r="E67" s="3" t="s">
        <v>659</v>
      </c>
      <c r="F67" s="3" t="s">
        <v>136</v>
      </c>
      <c r="G67" s="3" t="s">
        <v>50</v>
      </c>
      <c r="H67" s="4">
        <v>23234</v>
      </c>
      <c r="I67" s="3" t="s">
        <v>660</v>
      </c>
      <c r="J67" s="3" t="s">
        <v>52</v>
      </c>
      <c r="K67" s="5" t="s">
        <v>52</v>
      </c>
      <c r="L67" s="5" t="s">
        <v>52</v>
      </c>
      <c r="M67" s="3" t="s">
        <v>656</v>
      </c>
      <c r="N67" s="3" t="s">
        <v>52</v>
      </c>
      <c r="O67" s="3" t="s">
        <v>52</v>
      </c>
      <c r="P67" s="3" t="s">
        <v>52</v>
      </c>
      <c r="Q67" s="3" t="s">
        <v>52</v>
      </c>
      <c r="R67" s="3" t="s">
        <v>52</v>
      </c>
      <c r="S67" s="3" t="s">
        <v>52</v>
      </c>
      <c r="T67" s="3" t="s">
        <v>52</v>
      </c>
      <c r="U67" s="3" t="s">
        <v>52</v>
      </c>
      <c r="V67" s="3" t="s">
        <v>52</v>
      </c>
      <c r="W67" s="3" t="s">
        <v>52</v>
      </c>
      <c r="X67" s="3" t="s">
        <v>52</v>
      </c>
      <c r="Y67" s="3" t="s">
        <v>52</v>
      </c>
      <c r="Z67" s="3" t="s">
        <v>52</v>
      </c>
      <c r="AA67" s="3" t="s">
        <v>52</v>
      </c>
      <c r="AB67" s="3" t="s">
        <v>75</v>
      </c>
      <c r="AD67" s="7" t="b">
        <v>0</v>
      </c>
      <c r="AE67" s="7" t="b">
        <v>0</v>
      </c>
      <c r="AF67" s="7" t="b">
        <v>0</v>
      </c>
      <c r="AG67" s="3" t="s">
        <v>60</v>
      </c>
      <c r="AH67" s="3" t="s">
        <v>52</v>
      </c>
      <c r="AI67" s="3" t="s">
        <v>52</v>
      </c>
      <c r="AJ67" s="3" t="s">
        <v>52</v>
      </c>
      <c r="AK67" s="3" t="s">
        <v>52</v>
      </c>
      <c r="AL67" s="7" t="b">
        <v>0</v>
      </c>
      <c r="AM67" s="3" t="s">
        <v>52</v>
      </c>
      <c r="AO67" s="2">
        <v>0</v>
      </c>
      <c r="AQ67" s="3" t="s">
        <v>52</v>
      </c>
      <c r="AR67" s="3" t="s">
        <v>52</v>
      </c>
      <c r="AS67" s="3" t="s">
        <v>52</v>
      </c>
      <c r="AT67" s="3" t="s">
        <v>52</v>
      </c>
      <c r="AU67" s="9"/>
      <c r="AV67" s="9"/>
      <c r="AW67" s="9">
        <v>1</v>
      </c>
      <c r="AX67" t="str">
        <f t="shared" ref="AX67:AX130" si="1">CONCATENATE("('", B67, "', '", C67, "', '", D67, "', '", E67, "', '", F67, "', '", G67, "', '", H67, "', '", I67, "', '", J67, "', '", K67, "', '", L67, "', '", M67, "', '", N67, "', '", O67, "', '", P67, "', '", Q67, "', '", R67, "', '", S67, "', '", T67, "', '", U67, "', '", V67, "', '", W67, "', '", X67, "', '", Y67, "', '", Z67, "', '", AA67, "', '", AB67, "', '", AC67, "', '", AD67, "', '", AE67, "', '", AF67, "', '", AG67, "', '", AH67, "', '", AI67, "', '", AJ67, "', '", AK67, "', '", AL67, "', '", AM67, "', '", AN67, "', '", AO67, "', '", AP67, "', '", AQ67, "', '", AR67, "', '", AS67, "', '", AT67,  "', '", AU67,  "', '", AV67, "', '", AW67,"'),")</f>
        <v>('JEFFERSON', 'ALBERTA', 'MINISTRY-SUNDAY SERVICE', '6416 OMO ROAD', 'NORTH CHESTERFIELD', 'VA', '23234', '(804) 303-3045', '', '', '', '2ND SUN 8:00-9:15AM HU1A; 9:30-10:45AM HU1CB/MH FEMALES', '', '', '', '', '', '', '', '', '', '', '', '', '', '', 'MINISTRY', '', 'FALSE', 'FALSE', 'FALSE', 'COVID INACTIVE', '', '', '', '', 'FALSE', '', '', '0', '', '', '', '', '', '', '', '1'),</v>
      </c>
    </row>
    <row r="68" spans="1:50" ht="25.5" x14ac:dyDescent="0.25">
      <c r="A68" s="2">
        <v>1332</v>
      </c>
      <c r="B68" s="3" t="s">
        <v>661</v>
      </c>
      <c r="C68" s="3" t="s">
        <v>317</v>
      </c>
      <c r="D68" s="3" t="s">
        <v>148</v>
      </c>
      <c r="E68" s="3" t="s">
        <v>659</v>
      </c>
      <c r="F68" s="3" t="s">
        <v>136</v>
      </c>
      <c r="G68" s="3" t="s">
        <v>50</v>
      </c>
      <c r="H68" s="4">
        <v>23234</v>
      </c>
      <c r="I68" s="3" t="s">
        <v>660</v>
      </c>
      <c r="J68" s="3" t="s">
        <v>662</v>
      </c>
      <c r="K68" s="5" t="s">
        <v>52</v>
      </c>
      <c r="L68" s="5" t="s">
        <v>52</v>
      </c>
      <c r="M68" s="3" t="s">
        <v>656</v>
      </c>
      <c r="N68" s="3" t="s">
        <v>52</v>
      </c>
      <c r="O68" s="3" t="s">
        <v>52</v>
      </c>
      <c r="P68" s="3" t="s">
        <v>52</v>
      </c>
      <c r="Q68" s="3" t="s">
        <v>52</v>
      </c>
      <c r="R68" s="3" t="s">
        <v>52</v>
      </c>
      <c r="S68" s="3" t="s">
        <v>52</v>
      </c>
      <c r="T68" s="3" t="s">
        <v>52</v>
      </c>
      <c r="U68" s="3" t="s">
        <v>52</v>
      </c>
      <c r="V68" s="3" t="s">
        <v>52</v>
      </c>
      <c r="W68" s="3" t="s">
        <v>52</v>
      </c>
      <c r="X68" s="3" t="s">
        <v>52</v>
      </c>
      <c r="Y68" s="3" t="s">
        <v>52</v>
      </c>
      <c r="Z68" s="3" t="s">
        <v>52</v>
      </c>
      <c r="AA68" s="3" t="s">
        <v>52</v>
      </c>
      <c r="AB68" s="3" t="s">
        <v>75</v>
      </c>
      <c r="AD68" s="7" t="b">
        <v>0</v>
      </c>
      <c r="AE68" s="7" t="b">
        <v>0</v>
      </c>
      <c r="AF68" s="7" t="b">
        <v>1</v>
      </c>
      <c r="AG68" s="3" t="s">
        <v>60</v>
      </c>
      <c r="AH68" s="3" t="s">
        <v>52</v>
      </c>
      <c r="AI68" s="3" t="s">
        <v>52</v>
      </c>
      <c r="AJ68" s="3" t="s">
        <v>52</v>
      </c>
      <c r="AK68" s="3" t="s">
        <v>52</v>
      </c>
      <c r="AL68" s="7" t="b">
        <v>0</v>
      </c>
      <c r="AM68" s="3" t="s">
        <v>52</v>
      </c>
      <c r="AO68" s="2">
        <v>0</v>
      </c>
      <c r="AQ68" s="3" t="s">
        <v>52</v>
      </c>
      <c r="AR68" s="3" t="s">
        <v>52</v>
      </c>
      <c r="AS68" s="3" t="s">
        <v>52</v>
      </c>
      <c r="AT68" s="3" t="s">
        <v>52</v>
      </c>
      <c r="AU68" s="9"/>
      <c r="AV68" s="9"/>
      <c r="AW68" s="9">
        <v>1</v>
      </c>
      <c r="AX68" t="str">
        <f t="shared" si="1"/>
        <v>('JEFFERSON JR.', 'THOMAS', 'MINISTRY-SUNDAY SERVICE', '6416 OMO ROAD', 'NORTH CHESTERFIELD', 'VA', '23234', '(804) 303-3045', '(804) 663-8085', '', '', '2ND SUN 8:00-9:15AM HU1A; 9:30-10:45AM HU1CB/MH FEMALES', '', '', '', '', '', '', '', '', '', '', '', '', '', '', 'MINISTRY', '', 'FALSE', 'FALSE', 'TRUE', 'COVID INACTIVE', '', '', '', '', 'FALSE', '', '', '0', '', '', '', '', '', '', '', '1'),</v>
      </c>
    </row>
    <row r="69" spans="1:50" ht="38.25" x14ac:dyDescent="0.25">
      <c r="A69" s="2">
        <v>1381</v>
      </c>
      <c r="B69" s="3" t="s">
        <v>663</v>
      </c>
      <c r="C69" s="3" t="s">
        <v>664</v>
      </c>
      <c r="D69" s="3" t="s">
        <v>261</v>
      </c>
      <c r="E69" s="3" t="s">
        <v>665</v>
      </c>
      <c r="F69" s="3" t="s">
        <v>98</v>
      </c>
      <c r="G69" s="3" t="s">
        <v>50</v>
      </c>
      <c r="H69" s="4">
        <v>23805</v>
      </c>
      <c r="I69" s="3" t="s">
        <v>52</v>
      </c>
      <c r="J69" s="3" t="s">
        <v>666</v>
      </c>
      <c r="K69" s="5" t="s">
        <v>667</v>
      </c>
      <c r="L69" s="5" t="s">
        <v>497</v>
      </c>
      <c r="M69" s="3" t="s">
        <v>258</v>
      </c>
      <c r="N69" s="3" t="s">
        <v>52</v>
      </c>
      <c r="O69" s="3" t="s">
        <v>52</v>
      </c>
      <c r="P69" s="3" t="s">
        <v>52</v>
      </c>
      <c r="Q69" s="3" t="s">
        <v>87</v>
      </c>
      <c r="R69" s="3" t="s">
        <v>52</v>
      </c>
      <c r="S69" s="3" t="s">
        <v>668</v>
      </c>
      <c r="T69" s="3" t="s">
        <v>56</v>
      </c>
      <c r="U69" s="3" t="s">
        <v>57</v>
      </c>
      <c r="V69" s="3" t="s">
        <v>669</v>
      </c>
      <c r="W69" s="3" t="s">
        <v>52</v>
      </c>
      <c r="X69" s="3" t="s">
        <v>52</v>
      </c>
      <c r="Y69" s="3" t="s">
        <v>52</v>
      </c>
      <c r="Z69" s="3" t="s">
        <v>52</v>
      </c>
      <c r="AA69" s="3" t="s">
        <v>52</v>
      </c>
      <c r="AB69" s="3" t="s">
        <v>59</v>
      </c>
      <c r="AD69" s="7" t="b">
        <v>0</v>
      </c>
      <c r="AE69" s="7" t="b">
        <v>0</v>
      </c>
      <c r="AF69" s="7" t="b">
        <v>0</v>
      </c>
      <c r="AG69" s="3" t="s">
        <v>91</v>
      </c>
      <c r="AH69" s="3" t="s">
        <v>52</v>
      </c>
      <c r="AI69" s="3" t="s">
        <v>52</v>
      </c>
      <c r="AJ69" s="3" t="s">
        <v>52</v>
      </c>
      <c r="AK69" s="3" t="s">
        <v>52</v>
      </c>
      <c r="AL69" s="7" t="b">
        <v>0</v>
      </c>
      <c r="AM69" s="3" t="s">
        <v>92</v>
      </c>
      <c r="AO69" s="2">
        <v>0</v>
      </c>
      <c r="AQ69" s="3" t="s">
        <v>52</v>
      </c>
      <c r="AR69" s="3" t="s">
        <v>52</v>
      </c>
      <c r="AS69" s="3" t="s">
        <v>52</v>
      </c>
      <c r="AT69" s="3" t="s">
        <v>52</v>
      </c>
      <c r="AU69" s="9"/>
      <c r="AV69" s="9"/>
      <c r="AW69" s="9">
        <v>1</v>
      </c>
      <c r="AX69" t="str">
        <f t="shared" si="1"/>
        <v>('JENNINGS-COOPER', 'RENEE', 'DISTRICT 19', '11428 CEDAR RUN ROAD', 'SOUTH PRINCE GEORGE', 'VA', '23805', '', '(804) 895-5907', '10/7/1970', '12/7/2021', 'Tues &amp; Thurs 9:30am-11:00am', '', '', '', 'Degree', '', 'Rjennings-cooper@d19csb.com', 'Black', 'Female', '224-04-2310', '', '', '', '', '', 'SECULAR', '', 'FALSE', 'FALSE', 'FALSE', 'ACTIVE', '', '', '', '', 'FALSE', 'October', '', '0', '', '', '', '', '', '', '', '1'),</v>
      </c>
    </row>
    <row r="70" spans="1:50" ht="63.75" x14ac:dyDescent="0.25">
      <c r="A70" s="2">
        <v>1333</v>
      </c>
      <c r="B70" s="3" t="s">
        <v>670</v>
      </c>
      <c r="C70" s="3" t="s">
        <v>671</v>
      </c>
      <c r="D70" s="3" t="s">
        <v>644</v>
      </c>
      <c r="E70" s="3" t="s">
        <v>672</v>
      </c>
      <c r="F70" s="3" t="s">
        <v>673</v>
      </c>
      <c r="G70" s="3" t="s">
        <v>647</v>
      </c>
      <c r="H70" s="4">
        <v>76712</v>
      </c>
      <c r="I70" s="3" t="s">
        <v>674</v>
      </c>
      <c r="J70" s="3" t="s">
        <v>675</v>
      </c>
      <c r="K70" s="5" t="s">
        <v>52</v>
      </c>
      <c r="L70" s="5" t="s">
        <v>52</v>
      </c>
      <c r="M70" s="3" t="s">
        <v>641</v>
      </c>
      <c r="N70" s="3" t="s">
        <v>52</v>
      </c>
      <c r="O70" s="3" t="s">
        <v>52</v>
      </c>
      <c r="P70" s="3" t="s">
        <v>52</v>
      </c>
      <c r="Q70" s="3" t="s">
        <v>52</v>
      </c>
      <c r="R70" s="3" t="s">
        <v>52</v>
      </c>
      <c r="S70" s="3" t="s">
        <v>52</v>
      </c>
      <c r="T70" s="3" t="s">
        <v>52</v>
      </c>
      <c r="U70" s="3" t="s">
        <v>52</v>
      </c>
      <c r="V70" s="3" t="s">
        <v>52</v>
      </c>
      <c r="W70" s="3" t="s">
        <v>52</v>
      </c>
      <c r="X70" s="3" t="s">
        <v>52</v>
      </c>
      <c r="Y70" s="3" t="s">
        <v>52</v>
      </c>
      <c r="Z70" s="3" t="s">
        <v>52</v>
      </c>
      <c r="AA70" s="3" t="s">
        <v>52</v>
      </c>
      <c r="AB70" s="3" t="s">
        <v>75</v>
      </c>
      <c r="AD70" s="7" t="b">
        <v>0</v>
      </c>
      <c r="AE70" s="7" t="b">
        <v>0</v>
      </c>
      <c r="AF70" s="7" t="b">
        <v>0</v>
      </c>
      <c r="AG70" s="3" t="s">
        <v>60</v>
      </c>
      <c r="AH70" s="3" t="s">
        <v>52</v>
      </c>
      <c r="AI70" s="3" t="s">
        <v>649</v>
      </c>
      <c r="AJ70" s="3" t="s">
        <v>52</v>
      </c>
      <c r="AK70" s="3" t="s">
        <v>52</v>
      </c>
      <c r="AL70" s="7" t="b">
        <v>0</v>
      </c>
      <c r="AM70" s="3" t="s">
        <v>52</v>
      </c>
      <c r="AO70" s="2">
        <v>0</v>
      </c>
      <c r="AQ70" s="3" t="s">
        <v>52</v>
      </c>
      <c r="AR70" s="3" t="s">
        <v>52</v>
      </c>
      <c r="AS70" s="3" t="s">
        <v>52</v>
      </c>
      <c r="AT70" s="3" t="s">
        <v>52</v>
      </c>
      <c r="AU70" s="9"/>
      <c r="AV70" s="9"/>
      <c r="AW70" s="9">
        <v>1</v>
      </c>
      <c r="AX70" t="str">
        <f t="shared" si="1"/>
        <v>('JOHNSON', 'BYRON', 'MINISTRY-RESEARCH TRAUMA HEALING', '107 BRADFORD SQUARE', 'WOODWAS', 'TX', '76712', '(254) 710-7555', '(254) 716-0880', '', '', 'AS REQUESTED', '', '', '', '', '', '', '', '', '', '', '', '', '', '', 'MINISTRY', '', 'FALSE', 'FALSE', 'FALSE', 'COVID INACTIVE', '', 'BAYLOR UNIVERSITY/AMERICAN BIBLE SOCIETY', '', '', 'FALSE', '', '', '0', '', '', '', '', '', '', '', '1'),</v>
      </c>
    </row>
    <row r="71" spans="1:50" ht="25.5" x14ac:dyDescent="0.25">
      <c r="A71" s="2">
        <v>1257</v>
      </c>
      <c r="B71" s="3" t="s">
        <v>677</v>
      </c>
      <c r="C71" s="3" t="s">
        <v>678</v>
      </c>
      <c r="D71" s="3" t="s">
        <v>679</v>
      </c>
      <c r="E71" s="3" t="s">
        <v>680</v>
      </c>
      <c r="F71" s="3" t="s">
        <v>494</v>
      </c>
      <c r="G71" s="3" t="s">
        <v>50</v>
      </c>
      <c r="H71" s="4">
        <v>23803</v>
      </c>
      <c r="I71" s="3" t="s">
        <v>681</v>
      </c>
      <c r="J71" s="3" t="s">
        <v>681</v>
      </c>
      <c r="K71" s="5" t="s">
        <v>682</v>
      </c>
      <c r="L71" s="5" t="s">
        <v>683</v>
      </c>
      <c r="M71" s="3" t="s">
        <v>676</v>
      </c>
      <c r="N71" s="3" t="s">
        <v>52</v>
      </c>
      <c r="O71" s="3" t="s">
        <v>684</v>
      </c>
      <c r="P71" s="3" t="s">
        <v>52</v>
      </c>
      <c r="Q71" s="3" t="s">
        <v>685</v>
      </c>
      <c r="R71" s="3" t="s">
        <v>686</v>
      </c>
      <c r="S71" s="3" t="s">
        <v>52</v>
      </c>
      <c r="T71" s="3" t="s">
        <v>56</v>
      </c>
      <c r="U71" s="3" t="s">
        <v>89</v>
      </c>
      <c r="V71" s="3" t="s">
        <v>687</v>
      </c>
      <c r="W71" s="3" t="s">
        <v>52</v>
      </c>
      <c r="X71" s="3" t="s">
        <v>52</v>
      </c>
      <c r="Y71" s="3" t="s">
        <v>52</v>
      </c>
      <c r="Z71" s="3" t="s">
        <v>52</v>
      </c>
      <c r="AA71" s="3" t="s">
        <v>52</v>
      </c>
      <c r="AB71" s="3" t="s">
        <v>75</v>
      </c>
      <c r="AD71" s="7" t="b">
        <v>1</v>
      </c>
      <c r="AE71" s="7" t="b">
        <v>0</v>
      </c>
      <c r="AF71" s="7" t="b">
        <v>0</v>
      </c>
      <c r="AG71" s="3" t="s">
        <v>143</v>
      </c>
      <c r="AH71" s="3" t="s">
        <v>52</v>
      </c>
      <c r="AI71" s="3" t="s">
        <v>52</v>
      </c>
      <c r="AJ71" s="3" t="s">
        <v>226</v>
      </c>
      <c r="AK71" s="3" t="s">
        <v>688</v>
      </c>
      <c r="AL71" s="7" t="b">
        <v>1</v>
      </c>
      <c r="AM71" s="3" t="s">
        <v>615</v>
      </c>
      <c r="AO71" s="2">
        <v>0</v>
      </c>
      <c r="AQ71" s="3" t="s">
        <v>52</v>
      </c>
      <c r="AR71" s="3" t="s">
        <v>52</v>
      </c>
      <c r="AS71" s="3" t="s">
        <v>52</v>
      </c>
      <c r="AT71" s="3" t="s">
        <v>52</v>
      </c>
      <c r="AU71" s="9"/>
      <c r="AV71" s="9"/>
      <c r="AW71" s="9">
        <v>1</v>
      </c>
      <c r="AX71" t="str">
        <f t="shared" si="1"/>
        <v>('JONES', 'KEITH', 'MINISTRY-SPIRITUAL COUNSELOR', '25905 WEAKLEY ROAD', 'NORTH DINWIDDIE', 'VA', '23803', '(804) 721-6466', '(804) 721-6466', '4/6/1961', '3/9/2018', 'Mon &amp; Wed 8:00am - 4:30pm', '', 'NOW FAITH THAT WORKS', '', 'License', 'LICENSE', '', 'Black', 'Male', '229-02-0616', '', '', '', '', '', 'MINISTRY', '', 'TRUE', 'FALSE', 'FALSE', 'Active', '', '', 'ON CALL', 'Monday &amp; Wednesday', 'TRUE', 'April', '', '0', '', '', '', '', '', '', '', '1'),</v>
      </c>
    </row>
    <row r="72" spans="1:50" ht="25.5" x14ac:dyDescent="0.25">
      <c r="A72" s="2">
        <v>1256</v>
      </c>
      <c r="B72" s="3" t="s">
        <v>690</v>
      </c>
      <c r="C72" s="3" t="s">
        <v>691</v>
      </c>
      <c r="D72" s="3" t="s">
        <v>692</v>
      </c>
      <c r="E72" s="3" t="s">
        <v>693</v>
      </c>
      <c r="F72" s="3" t="s">
        <v>565</v>
      </c>
      <c r="G72" s="3" t="s">
        <v>50</v>
      </c>
      <c r="H72" s="4">
        <v>23116</v>
      </c>
      <c r="I72" s="3" t="s">
        <v>694</v>
      </c>
      <c r="J72" s="3" t="s">
        <v>52</v>
      </c>
      <c r="K72" s="5" t="s">
        <v>695</v>
      </c>
      <c r="L72" s="5" t="s">
        <v>696</v>
      </c>
      <c r="M72" s="3" t="s">
        <v>689</v>
      </c>
      <c r="N72" s="3" t="s">
        <v>52</v>
      </c>
      <c r="O72" s="3" t="s">
        <v>52</v>
      </c>
      <c r="P72" s="3" t="s">
        <v>52</v>
      </c>
      <c r="Q72" s="3" t="s">
        <v>87</v>
      </c>
      <c r="R72" s="3" t="s">
        <v>52</v>
      </c>
      <c r="S72" s="3" t="s">
        <v>52</v>
      </c>
      <c r="T72" s="3" t="s">
        <v>56</v>
      </c>
      <c r="U72" s="3" t="s">
        <v>57</v>
      </c>
      <c r="V72" s="3" t="s">
        <v>697</v>
      </c>
      <c r="W72" s="3" t="s">
        <v>52</v>
      </c>
      <c r="X72" s="3" t="s">
        <v>52</v>
      </c>
      <c r="Y72" s="3" t="s">
        <v>52</v>
      </c>
      <c r="Z72" s="3" t="s">
        <v>52</v>
      </c>
      <c r="AA72" s="3" t="s">
        <v>52</v>
      </c>
      <c r="AB72" s="3" t="s">
        <v>59</v>
      </c>
      <c r="AD72" s="7" t="b">
        <v>0</v>
      </c>
      <c r="AE72" s="7" t="b">
        <v>0</v>
      </c>
      <c r="AF72" s="7" t="b">
        <v>0</v>
      </c>
      <c r="AG72" s="3" t="s">
        <v>60</v>
      </c>
      <c r="AH72" s="3" t="s">
        <v>52</v>
      </c>
      <c r="AI72" s="3" t="s">
        <v>52</v>
      </c>
      <c r="AJ72" s="3" t="s">
        <v>52</v>
      </c>
      <c r="AK72" s="3" t="s">
        <v>52</v>
      </c>
      <c r="AL72" s="7" t="b">
        <v>0</v>
      </c>
      <c r="AM72" s="3" t="s">
        <v>92</v>
      </c>
      <c r="AO72" s="2">
        <v>0</v>
      </c>
      <c r="AQ72" s="3" t="s">
        <v>52</v>
      </c>
      <c r="AR72" s="3" t="s">
        <v>52</v>
      </c>
      <c r="AS72" s="3" t="s">
        <v>52</v>
      </c>
      <c r="AT72" s="3" t="s">
        <v>52</v>
      </c>
      <c r="AU72" s="9"/>
      <c r="AV72" s="9"/>
      <c r="AW72" s="9">
        <v>1</v>
      </c>
      <c r="AX72" t="str">
        <f t="shared" si="1"/>
        <v>('JORDAN', 'CHANIE', 'PARENTING CLASS', '9137 COOL AUTUMN DRIVE', 'MECHANICSVILLE', 'VA', '23116', '(804) 393-0110', '', '10/22/1955', '2/9/2018', '2nd Sat 2:00pm-4:00pm', '', '', '', 'Degree', '', '', 'Black', 'Female', '225-86-3011', '', '', '', '', '', 'SECULAR', '', 'FALSE', 'FALSE', 'FALSE', 'COVID INACTIVE', '', '', '', '', 'FALSE', 'October', '', '0', '', '', '', '', '', '', '', '1'),</v>
      </c>
    </row>
    <row r="73" spans="1:50" ht="25.5" x14ac:dyDescent="0.25">
      <c r="A73" s="2">
        <v>1274</v>
      </c>
      <c r="B73" s="3" t="s">
        <v>690</v>
      </c>
      <c r="C73" s="3" t="s">
        <v>699</v>
      </c>
      <c r="D73" s="3" t="s">
        <v>700</v>
      </c>
      <c r="E73" s="3" t="s">
        <v>701</v>
      </c>
      <c r="F73" s="3" t="s">
        <v>68</v>
      </c>
      <c r="G73" s="3" t="s">
        <v>50</v>
      </c>
      <c r="H73" s="4">
        <v>23803</v>
      </c>
      <c r="I73" s="3" t="s">
        <v>702</v>
      </c>
      <c r="J73" s="3" t="s">
        <v>52</v>
      </c>
      <c r="K73" s="5" t="s">
        <v>703</v>
      </c>
      <c r="L73" s="5" t="s">
        <v>704</v>
      </c>
      <c r="M73" s="3" t="s">
        <v>698</v>
      </c>
      <c r="N73" s="3" t="s">
        <v>52</v>
      </c>
      <c r="O73" s="3" t="s">
        <v>52</v>
      </c>
      <c r="P73" s="3" t="s">
        <v>52</v>
      </c>
      <c r="Q73" s="3" t="s">
        <v>55</v>
      </c>
      <c r="R73" s="3" t="s">
        <v>52</v>
      </c>
      <c r="S73" s="3" t="s">
        <v>52</v>
      </c>
      <c r="T73" s="3" t="s">
        <v>56</v>
      </c>
      <c r="U73" s="3" t="s">
        <v>89</v>
      </c>
      <c r="V73" s="3" t="s">
        <v>705</v>
      </c>
      <c r="W73" s="3" t="s">
        <v>52</v>
      </c>
      <c r="X73" s="3" t="s">
        <v>52</v>
      </c>
      <c r="Y73" s="3" t="s">
        <v>52</v>
      </c>
      <c r="Z73" s="3" t="s">
        <v>52</v>
      </c>
      <c r="AA73" s="3" t="s">
        <v>52</v>
      </c>
      <c r="AB73" s="3" t="s">
        <v>59</v>
      </c>
      <c r="AD73" s="7" t="b">
        <v>1</v>
      </c>
      <c r="AE73" s="7" t="b">
        <v>0</v>
      </c>
      <c r="AF73" s="7" t="b">
        <v>0</v>
      </c>
      <c r="AG73" s="3" t="s">
        <v>60</v>
      </c>
      <c r="AH73" s="3" t="s">
        <v>52</v>
      </c>
      <c r="AI73" s="3" t="s">
        <v>52</v>
      </c>
      <c r="AJ73" s="3" t="s">
        <v>52</v>
      </c>
      <c r="AK73" s="3" t="s">
        <v>52</v>
      </c>
      <c r="AL73" s="7" t="b">
        <v>0</v>
      </c>
      <c r="AM73" s="3" t="s">
        <v>176</v>
      </c>
      <c r="AO73" s="2">
        <v>0</v>
      </c>
      <c r="AQ73" s="3" t="s">
        <v>52</v>
      </c>
      <c r="AR73" s="3" t="s">
        <v>52</v>
      </c>
      <c r="AS73" s="3" t="s">
        <v>52</v>
      </c>
      <c r="AT73" s="3" t="s">
        <v>52</v>
      </c>
      <c r="AU73" s="9"/>
      <c r="AV73" s="9"/>
      <c r="AW73" s="9">
        <v>1</v>
      </c>
      <c r="AX73" t="str">
        <f t="shared" si="1"/>
        <v>('JORDAN', 'FRANKIE', 'REENTRY REGENSIS HOUSING', '115 NORTH MARKET STREET', 'PETERSBURG', 'VA', '23803', '(804) 481-0266', '', '11/25/1961', '11/30/2016', 'Mon-Fri 9:00am-11:00am', '', '', '', 'Certificate', '', '', 'Black', 'Male', '230-94-0933', '', '', '', '', '', 'SECULAR', '', 'TRUE', 'FALSE', 'FALSE', 'COVID INACTIVE', '', '', '', '', 'FALSE', 'November', '', '0', '', '', '', '', '', '', '', '1'),</v>
      </c>
    </row>
    <row r="74" spans="1:50" ht="38.25" x14ac:dyDescent="0.25">
      <c r="A74" s="2">
        <v>1335</v>
      </c>
      <c r="B74" s="3" t="s">
        <v>707</v>
      </c>
      <c r="C74" s="3" t="s">
        <v>708</v>
      </c>
      <c r="D74" s="3" t="s">
        <v>66</v>
      </c>
      <c r="E74" s="3" t="s">
        <v>709</v>
      </c>
      <c r="F74" s="3" t="s">
        <v>314</v>
      </c>
      <c r="G74" s="3" t="s">
        <v>50</v>
      </c>
      <c r="H74" s="4">
        <v>23834</v>
      </c>
      <c r="I74" s="3" t="s">
        <v>710</v>
      </c>
      <c r="J74" s="3" t="s">
        <v>52</v>
      </c>
      <c r="K74" s="5" t="s">
        <v>52</v>
      </c>
      <c r="L74" s="5" t="s">
        <v>52</v>
      </c>
      <c r="M74" s="3" t="s">
        <v>706</v>
      </c>
      <c r="N74" s="3" t="s">
        <v>52</v>
      </c>
      <c r="O74" s="3" t="s">
        <v>52</v>
      </c>
      <c r="P74" s="3" t="s">
        <v>52</v>
      </c>
      <c r="Q74" s="3" t="s">
        <v>73</v>
      </c>
      <c r="R74" s="3" t="s">
        <v>52</v>
      </c>
      <c r="S74" s="3" t="s">
        <v>52</v>
      </c>
      <c r="T74" s="3" t="s">
        <v>103</v>
      </c>
      <c r="U74" s="3" t="s">
        <v>57</v>
      </c>
      <c r="V74" s="3" t="s">
        <v>52</v>
      </c>
      <c r="W74" s="3" t="s">
        <v>52</v>
      </c>
      <c r="X74" s="3" t="s">
        <v>52</v>
      </c>
      <c r="Y74" s="3" t="s">
        <v>52</v>
      </c>
      <c r="Z74" s="3" t="s">
        <v>52</v>
      </c>
      <c r="AA74" s="3" t="s">
        <v>52</v>
      </c>
      <c r="AB74" s="3" t="s">
        <v>75</v>
      </c>
      <c r="AD74" s="7" t="b">
        <v>0</v>
      </c>
      <c r="AE74" s="7" t="b">
        <v>0</v>
      </c>
      <c r="AF74" s="7" t="b">
        <v>0</v>
      </c>
      <c r="AG74" s="3" t="s">
        <v>60</v>
      </c>
      <c r="AH74" s="3" t="s">
        <v>52</v>
      </c>
      <c r="AI74" s="10" t="s">
        <v>1320</v>
      </c>
      <c r="AJ74" s="3" t="s">
        <v>52</v>
      </c>
      <c r="AK74" s="3" t="s">
        <v>52</v>
      </c>
      <c r="AL74" s="7" t="b">
        <v>0</v>
      </c>
      <c r="AM74" s="3" t="s">
        <v>52</v>
      </c>
      <c r="AO74" s="2">
        <v>0</v>
      </c>
      <c r="AQ74" s="3" t="s">
        <v>76</v>
      </c>
      <c r="AR74" s="3" t="s">
        <v>77</v>
      </c>
      <c r="AS74" s="3" t="s">
        <v>532</v>
      </c>
      <c r="AT74" s="3" t="s">
        <v>52</v>
      </c>
      <c r="AU74" s="9"/>
      <c r="AV74" s="9"/>
      <c r="AW74" s="9">
        <v>1</v>
      </c>
      <c r="AX74" t="str">
        <f t="shared" si="1"/>
        <v>('KENISTON-POND', 'KYMBERLY', 'MINISTRY-BIBLE STUDY', '18611 ROLLINGSIDE DRIVE', 'COLONIAL HEIGHTS', 'VA', '23834', '(804) 931-6688', '', '', '', 'MON 9:00-10:00AM HU1A,B; WED 2:00-3:00PM HU1CB; Sat 1:00-2:30pm HU6', '', '', '', 'Letter of Recommendation', '', '', 'White', 'Female', '', '', '', '', '', '', 'MINISTRY', '', 'FALSE', 'FALSE', 'FALSE', 'COVID INACTIVE', '', 'JEHOVAHS WITNESS', '', '', 'FALSE', '', '', '0', '', 'Main Jail', 'HU6', 'JEHOVAH WITNESS', '', '', '', '1'),</v>
      </c>
    </row>
    <row r="75" spans="1:50" ht="25.5" x14ac:dyDescent="0.25">
      <c r="A75" s="2">
        <v>1336</v>
      </c>
      <c r="B75" s="3" t="s">
        <v>712</v>
      </c>
      <c r="C75" s="3" t="s">
        <v>713</v>
      </c>
      <c r="D75" s="3" t="s">
        <v>148</v>
      </c>
      <c r="E75" s="3" t="s">
        <v>714</v>
      </c>
      <c r="F75" s="3" t="s">
        <v>578</v>
      </c>
      <c r="G75" s="3" t="s">
        <v>50</v>
      </c>
      <c r="H75" s="4">
        <v>23883</v>
      </c>
      <c r="I75" s="3" t="s">
        <v>715</v>
      </c>
      <c r="J75" s="3" t="s">
        <v>52</v>
      </c>
      <c r="K75" s="5" t="s">
        <v>52</v>
      </c>
      <c r="L75" s="5" t="s">
        <v>52</v>
      </c>
      <c r="M75" s="3" t="s">
        <v>711</v>
      </c>
      <c r="N75" s="3" t="s">
        <v>52</v>
      </c>
      <c r="O75" s="3" t="s">
        <v>52</v>
      </c>
      <c r="P75" s="3" t="s">
        <v>52</v>
      </c>
      <c r="Q75" s="3" t="s">
        <v>52</v>
      </c>
      <c r="R75" s="3" t="s">
        <v>52</v>
      </c>
      <c r="S75" s="3" t="s">
        <v>52</v>
      </c>
      <c r="T75" s="3" t="s">
        <v>56</v>
      </c>
      <c r="U75" s="3" t="s">
        <v>89</v>
      </c>
      <c r="V75" s="3" t="s">
        <v>52</v>
      </c>
      <c r="W75" s="3" t="s">
        <v>52</v>
      </c>
      <c r="X75" s="3" t="s">
        <v>52</v>
      </c>
      <c r="Y75" s="3" t="s">
        <v>52</v>
      </c>
      <c r="Z75" s="3" t="s">
        <v>52</v>
      </c>
      <c r="AA75" s="3" t="s">
        <v>52</v>
      </c>
      <c r="AB75" s="3" t="s">
        <v>75</v>
      </c>
      <c r="AD75" s="7" t="b">
        <v>0</v>
      </c>
      <c r="AE75" s="7" t="b">
        <v>0</v>
      </c>
      <c r="AF75" s="7" t="b">
        <v>0</v>
      </c>
      <c r="AG75" s="3" t="s">
        <v>60</v>
      </c>
      <c r="AH75" s="3" t="s">
        <v>52</v>
      </c>
      <c r="AI75" s="3" t="s">
        <v>52</v>
      </c>
      <c r="AJ75" s="3" t="s">
        <v>52</v>
      </c>
      <c r="AK75" s="3" t="s">
        <v>52</v>
      </c>
      <c r="AL75" s="7" t="b">
        <v>0</v>
      </c>
      <c r="AM75" s="3" t="s">
        <v>52</v>
      </c>
      <c r="AO75" s="2">
        <v>0</v>
      </c>
      <c r="AQ75" s="3" t="s">
        <v>52</v>
      </c>
      <c r="AR75" s="3" t="s">
        <v>52</v>
      </c>
      <c r="AS75" s="3" t="s">
        <v>52</v>
      </c>
      <c r="AT75" s="3" t="s">
        <v>52</v>
      </c>
      <c r="AU75" s="9"/>
      <c r="AV75" s="9"/>
      <c r="AW75" s="9">
        <v>1</v>
      </c>
      <c r="AX75" t="str">
        <f t="shared" si="1"/>
        <v>('KINDRED', 'ALFRED', 'MINISTRY-SUNDAY SERVICE', '561 COLLEGE RUN DRIVE', 'SURRY', 'VA', '23883', '(757) 593-8561', '', '', '', '3RD SUN 8:00-9:15AM HU3A, C, D', '', '', '', '', '', '', 'Black', 'Male', '', '', '', '', '', '', 'MINISTRY', '', 'FALSE', 'FALSE', 'FALSE', 'COVID INACTIVE', '', '', '', '', 'FALSE', '', '', '0', '', '', '', '', '', '', '', '1'),</v>
      </c>
    </row>
    <row r="76" spans="1:50" ht="25.5" x14ac:dyDescent="0.25">
      <c r="A76" s="2">
        <v>1390</v>
      </c>
      <c r="B76" s="3" t="s">
        <v>716</v>
      </c>
      <c r="C76" s="3" t="s">
        <v>717</v>
      </c>
      <c r="D76" s="3" t="s">
        <v>261</v>
      </c>
      <c r="E76" s="3" t="s">
        <v>718</v>
      </c>
      <c r="F76" s="3" t="s">
        <v>68</v>
      </c>
      <c r="G76" s="3" t="s">
        <v>50</v>
      </c>
      <c r="H76" s="4">
        <v>23805</v>
      </c>
      <c r="I76" s="3" t="s">
        <v>719</v>
      </c>
      <c r="J76" s="3" t="s">
        <v>719</v>
      </c>
      <c r="K76" s="5" t="s">
        <v>720</v>
      </c>
      <c r="L76" s="5" t="s">
        <v>721</v>
      </c>
      <c r="M76" s="3" t="s">
        <v>258</v>
      </c>
      <c r="N76" s="3" t="s">
        <v>52</v>
      </c>
      <c r="O76" s="3" t="s">
        <v>52</v>
      </c>
      <c r="P76" s="3" t="s">
        <v>52</v>
      </c>
      <c r="Q76" s="3" t="s">
        <v>102</v>
      </c>
      <c r="R76" s="3" t="s">
        <v>52</v>
      </c>
      <c r="S76" s="3" t="s">
        <v>722</v>
      </c>
      <c r="T76" s="3" t="s">
        <v>56</v>
      </c>
      <c r="U76" s="3" t="s">
        <v>89</v>
      </c>
      <c r="V76" s="3" t="s">
        <v>723</v>
      </c>
      <c r="W76" s="3" t="s">
        <v>52</v>
      </c>
      <c r="X76" s="3" t="s">
        <v>52</v>
      </c>
      <c r="Y76" s="3" t="s">
        <v>52</v>
      </c>
      <c r="Z76" s="3" t="s">
        <v>52</v>
      </c>
      <c r="AA76" s="3" t="s">
        <v>52</v>
      </c>
      <c r="AB76" s="3" t="s">
        <v>59</v>
      </c>
      <c r="AD76" s="7" t="b">
        <v>0</v>
      </c>
      <c r="AE76" s="7" t="b">
        <v>0</v>
      </c>
      <c r="AF76" s="7" t="b">
        <v>0</v>
      </c>
      <c r="AG76" s="3" t="s">
        <v>91</v>
      </c>
      <c r="AH76" s="3" t="s">
        <v>52</v>
      </c>
      <c r="AI76" s="3" t="s">
        <v>52</v>
      </c>
      <c r="AJ76" s="3" t="s">
        <v>52</v>
      </c>
      <c r="AK76" s="3" t="s">
        <v>52</v>
      </c>
      <c r="AL76" s="7" t="b">
        <v>0</v>
      </c>
      <c r="AM76" s="3" t="s">
        <v>92</v>
      </c>
      <c r="AO76" s="2">
        <v>0</v>
      </c>
      <c r="AQ76" s="3" t="s">
        <v>76</v>
      </c>
      <c r="AR76" s="3" t="s">
        <v>52</v>
      </c>
      <c r="AS76" s="3" t="s">
        <v>52</v>
      </c>
      <c r="AT76" s="3" t="s">
        <v>52</v>
      </c>
      <c r="AU76" s="9"/>
      <c r="AV76" s="9"/>
      <c r="AW76" s="9">
        <v>1</v>
      </c>
      <c r="AX76" t="str">
        <f t="shared" si="1"/>
        <v>('KING', 'DARNELLA', 'DISTRICT 19', '13 CEDARCROFT COURT', 'PETERSBURG', 'VA', '23805', '(804) 299-1798', '(804) 299-1798', '10/11/1966', '1/3/2024', 'Tues &amp; Thurs 9:30am-11:00am', '', '', '', 'Life Experiences', '', 'darnellabillups@gmail.com', 'Black', 'Male', '227-25-0182', '', '', '', '', '', 'SECULAR', '', 'FALSE', 'FALSE', 'FALSE', 'ACTIVE', '', '', '', '', 'FALSE', 'October', '', '0', '', 'Main Jail', '', '', '', '', '', '1'),</v>
      </c>
    </row>
    <row r="77" spans="1:50" ht="25.5" x14ac:dyDescent="0.25">
      <c r="A77" s="2">
        <v>1337</v>
      </c>
      <c r="B77" s="3" t="s">
        <v>725</v>
      </c>
      <c r="C77" s="3" t="s">
        <v>726</v>
      </c>
      <c r="D77" s="3" t="s">
        <v>727</v>
      </c>
      <c r="E77" s="3" t="s">
        <v>728</v>
      </c>
      <c r="F77" s="3" t="s">
        <v>136</v>
      </c>
      <c r="G77" s="3" t="s">
        <v>50</v>
      </c>
      <c r="H77" s="4">
        <v>23237</v>
      </c>
      <c r="I77" s="3" t="s">
        <v>729</v>
      </c>
      <c r="J77" s="3" t="s">
        <v>52</v>
      </c>
      <c r="K77" s="5" t="s">
        <v>52</v>
      </c>
      <c r="L77" s="5" t="s">
        <v>52</v>
      </c>
      <c r="M77" s="3" t="s">
        <v>724</v>
      </c>
      <c r="N77" s="3" t="s">
        <v>52</v>
      </c>
      <c r="O77" s="3" t="s">
        <v>52</v>
      </c>
      <c r="P77" s="3" t="s">
        <v>52</v>
      </c>
      <c r="Q77" s="3" t="s">
        <v>52</v>
      </c>
      <c r="R77" s="3" t="s">
        <v>52</v>
      </c>
      <c r="S77" s="3" t="s">
        <v>52</v>
      </c>
      <c r="T77" s="3" t="s">
        <v>52</v>
      </c>
      <c r="U77" s="3" t="s">
        <v>52</v>
      </c>
      <c r="V77" s="3" t="s">
        <v>52</v>
      </c>
      <c r="W77" s="3" t="s">
        <v>52</v>
      </c>
      <c r="X77" s="3" t="s">
        <v>52</v>
      </c>
      <c r="Y77" s="3" t="s">
        <v>52</v>
      </c>
      <c r="Z77" s="3" t="s">
        <v>52</v>
      </c>
      <c r="AA77" s="3" t="s">
        <v>52</v>
      </c>
      <c r="AB77" s="3" t="s">
        <v>75</v>
      </c>
      <c r="AD77" s="7" t="b">
        <v>0</v>
      </c>
      <c r="AE77" s="7" t="b">
        <v>0</v>
      </c>
      <c r="AF77" s="7" t="b">
        <v>0</v>
      </c>
      <c r="AG77" s="3" t="s">
        <v>60</v>
      </c>
      <c r="AH77" s="3" t="s">
        <v>52</v>
      </c>
      <c r="AI77" s="3" t="s">
        <v>730</v>
      </c>
      <c r="AJ77" s="3" t="s">
        <v>52</v>
      </c>
      <c r="AK77" s="3" t="s">
        <v>52</v>
      </c>
      <c r="AL77" s="7" t="b">
        <v>0</v>
      </c>
      <c r="AM77" s="3" t="s">
        <v>52</v>
      </c>
      <c r="AO77" s="2">
        <v>0</v>
      </c>
      <c r="AQ77" s="3" t="s">
        <v>52</v>
      </c>
      <c r="AR77" s="3" t="s">
        <v>52</v>
      </c>
      <c r="AS77" s="3" t="s">
        <v>730</v>
      </c>
      <c r="AT77" s="3" t="s">
        <v>52</v>
      </c>
      <c r="AU77" s="9"/>
      <c r="AV77" s="9"/>
      <c r="AW77" s="9">
        <v>1</v>
      </c>
      <c r="AX77" t="str">
        <f t="shared" si="1"/>
        <v>('LASKOWSKI', 'CATHERINE', 'MINISTRY-CATHOLIC STUDY', '5323 THORNINGTON DRIVE', 'NORTH CHESTERFIELD', 'VA', '23237', '(804) 748-0527', '', '', '', 'SAT 08:15-9:15AM HU1', '', '', '', '', '', '', '', '', '', '', '', '', '', '', 'MINISTRY', '', 'FALSE', 'FALSE', 'FALSE', 'COVID INACTIVE', '', 'CATHOLIC', '', '', 'FALSE', '', '', '0', '', '', '', 'CATHOLIC', '', '', '', '1'),</v>
      </c>
    </row>
    <row r="78" spans="1:50" ht="25.5" x14ac:dyDescent="0.25">
      <c r="A78" s="2">
        <v>1338</v>
      </c>
      <c r="B78" s="3" t="s">
        <v>732</v>
      </c>
      <c r="C78" s="3" t="s">
        <v>423</v>
      </c>
      <c r="D78" s="3" t="s">
        <v>66</v>
      </c>
      <c r="E78" s="3" t="s">
        <v>733</v>
      </c>
      <c r="F78" s="3" t="s">
        <v>136</v>
      </c>
      <c r="G78" s="3" t="s">
        <v>50</v>
      </c>
      <c r="H78" s="4">
        <v>23237</v>
      </c>
      <c r="I78" s="3" t="s">
        <v>734</v>
      </c>
      <c r="J78" s="3" t="s">
        <v>735</v>
      </c>
      <c r="K78" s="5" t="s">
        <v>52</v>
      </c>
      <c r="L78" s="5" t="s">
        <v>52</v>
      </c>
      <c r="M78" s="3" t="s">
        <v>731</v>
      </c>
      <c r="N78" s="3" t="s">
        <v>52</v>
      </c>
      <c r="O78" s="3" t="s">
        <v>52</v>
      </c>
      <c r="P78" s="3" t="s">
        <v>52</v>
      </c>
      <c r="Q78" s="3" t="s">
        <v>52</v>
      </c>
      <c r="R78" s="3" t="s">
        <v>52</v>
      </c>
      <c r="S78" s="3" t="s">
        <v>52</v>
      </c>
      <c r="T78" s="3" t="s">
        <v>56</v>
      </c>
      <c r="U78" s="3" t="s">
        <v>89</v>
      </c>
      <c r="V78" s="3" t="s">
        <v>52</v>
      </c>
      <c r="W78" s="3" t="s">
        <v>52</v>
      </c>
      <c r="X78" s="3" t="s">
        <v>52</v>
      </c>
      <c r="Y78" s="3" t="s">
        <v>52</v>
      </c>
      <c r="Z78" s="3" t="s">
        <v>52</v>
      </c>
      <c r="AA78" s="3" t="s">
        <v>52</v>
      </c>
      <c r="AB78" s="3" t="s">
        <v>75</v>
      </c>
      <c r="AD78" s="7" t="b">
        <v>0</v>
      </c>
      <c r="AE78" s="7" t="b">
        <v>0</v>
      </c>
      <c r="AF78" s="7" t="b">
        <v>0</v>
      </c>
      <c r="AG78" s="3" t="s">
        <v>60</v>
      </c>
      <c r="AH78" s="3" t="s">
        <v>52</v>
      </c>
      <c r="AI78" s="3" t="s">
        <v>736</v>
      </c>
      <c r="AJ78" s="3" t="s">
        <v>52</v>
      </c>
      <c r="AK78" s="3" t="s">
        <v>52</v>
      </c>
      <c r="AL78" s="7" t="b">
        <v>0</v>
      </c>
      <c r="AM78" s="3" t="s">
        <v>52</v>
      </c>
      <c r="AO78" s="2">
        <v>0</v>
      </c>
      <c r="AQ78" s="3" t="s">
        <v>52</v>
      </c>
      <c r="AR78" s="3" t="s">
        <v>52</v>
      </c>
      <c r="AS78" s="3" t="s">
        <v>737</v>
      </c>
      <c r="AT78" s="3" t="s">
        <v>52</v>
      </c>
      <c r="AU78" s="9"/>
      <c r="AV78" s="9"/>
      <c r="AW78" s="9">
        <v>1</v>
      </c>
      <c r="AX78" t="str">
        <f t="shared" si="1"/>
        <v>('LEWIS', 'GREGORY', 'MINISTRY-BIBLE STUDY', '8319 HOPKINS ROAD', 'NORTH CHESTERFIELD', 'VA', '23237', '(804) 271-8219', '(804) 241-2153', '', '', 'WED 9:00-10:00AM HU3', '', '', '', '', '', '', 'Black', 'Male', '', '', '', '', '', '', 'MINISTRY', '', 'FALSE', 'FALSE', 'FALSE', 'COVID INACTIVE', '', 'CHURCH OF CHRIST', '', '', 'FALSE', '', '', '0', '', '', '', 'CHRISTIAN-COC', '', '', '', '1'),</v>
      </c>
    </row>
    <row r="79" spans="1:50" ht="25.5" x14ac:dyDescent="0.25">
      <c r="A79" s="2">
        <v>1339</v>
      </c>
      <c r="B79" s="3" t="s">
        <v>739</v>
      </c>
      <c r="C79" s="3" t="s">
        <v>740</v>
      </c>
      <c r="D79" s="3" t="s">
        <v>107</v>
      </c>
      <c r="E79" s="3" t="s">
        <v>741</v>
      </c>
      <c r="F79" s="3" t="s">
        <v>619</v>
      </c>
      <c r="G79" s="3" t="s">
        <v>50</v>
      </c>
      <c r="H79" s="4">
        <v>23112</v>
      </c>
      <c r="I79" s="3" t="s">
        <v>742</v>
      </c>
      <c r="J79" s="3" t="s">
        <v>52</v>
      </c>
      <c r="K79" s="5" t="s">
        <v>52</v>
      </c>
      <c r="L79" s="5" t="s">
        <v>52</v>
      </c>
      <c r="M79" s="3" t="s">
        <v>738</v>
      </c>
      <c r="N79" s="3" t="s">
        <v>52</v>
      </c>
      <c r="O79" s="3" t="s">
        <v>52</v>
      </c>
      <c r="P79" s="3" t="s">
        <v>52</v>
      </c>
      <c r="Q79" s="3" t="s">
        <v>52</v>
      </c>
      <c r="R79" s="3" t="s">
        <v>52</v>
      </c>
      <c r="S79" s="3" t="s">
        <v>52</v>
      </c>
      <c r="T79" s="3" t="s">
        <v>103</v>
      </c>
      <c r="U79" s="3" t="s">
        <v>89</v>
      </c>
      <c r="V79" s="3" t="s">
        <v>52</v>
      </c>
      <c r="W79" s="3" t="s">
        <v>52</v>
      </c>
      <c r="X79" s="3" t="s">
        <v>52</v>
      </c>
      <c r="Y79" s="3" t="s">
        <v>52</v>
      </c>
      <c r="Z79" s="3" t="s">
        <v>52</v>
      </c>
      <c r="AA79" s="3" t="s">
        <v>52</v>
      </c>
      <c r="AB79" s="3" t="s">
        <v>75</v>
      </c>
      <c r="AD79" s="7" t="b">
        <v>0</v>
      </c>
      <c r="AE79" s="7" t="b">
        <v>0</v>
      </c>
      <c r="AF79" s="7" t="b">
        <v>0</v>
      </c>
      <c r="AG79" s="3" t="s">
        <v>60</v>
      </c>
      <c r="AH79" s="3" t="s">
        <v>52</v>
      </c>
      <c r="AI79" s="3" t="s">
        <v>52</v>
      </c>
      <c r="AJ79" s="3" t="s">
        <v>52</v>
      </c>
      <c r="AK79" s="3" t="s">
        <v>52</v>
      </c>
      <c r="AL79" s="7" t="b">
        <v>0</v>
      </c>
      <c r="AM79" s="3" t="s">
        <v>52</v>
      </c>
      <c r="AO79" s="2">
        <v>0</v>
      </c>
      <c r="AQ79" s="3" t="s">
        <v>52</v>
      </c>
      <c r="AR79" s="3" t="s">
        <v>52</v>
      </c>
      <c r="AS79" s="3" t="s">
        <v>52</v>
      </c>
      <c r="AT79" s="3" t="s">
        <v>52</v>
      </c>
      <c r="AU79" s="9"/>
      <c r="AV79" s="9"/>
      <c r="AW79" s="9">
        <v>1</v>
      </c>
      <c r="AX79" t="str">
        <f t="shared" si="1"/>
        <v>('LIGHT', 'BARRY', 'MINISTRY-COUNSELING', '14649 WINDJAMMER DRIVE', 'MIDLOTHIAN', 'VA', '23112', '(804) 641-6467', '', '', '', 'SAT 9:00-11:00AM HU3C, D, E', '', '', '', '', '', '', 'White', 'Male', '', '', '', '', '', '', 'MINISTRY', '', 'FALSE', 'FALSE', 'FALSE', 'COVID INACTIVE', '', '', '', '', 'FALSE', '', '', '0', '', '', '', '', '', '', '', '1'),</v>
      </c>
    </row>
    <row r="80" spans="1:50" ht="25.5" x14ac:dyDescent="0.25">
      <c r="A80" s="2">
        <v>1246</v>
      </c>
      <c r="B80" s="3" t="s">
        <v>743</v>
      </c>
      <c r="C80" s="3" t="s">
        <v>744</v>
      </c>
      <c r="D80" s="3" t="s">
        <v>96</v>
      </c>
      <c r="E80" s="3" t="s">
        <v>745</v>
      </c>
      <c r="F80" s="3" t="s">
        <v>68</v>
      </c>
      <c r="G80" s="3" t="s">
        <v>50</v>
      </c>
      <c r="H80" s="4">
        <v>23803</v>
      </c>
      <c r="I80" s="3" t="s">
        <v>746</v>
      </c>
      <c r="J80" s="3" t="s">
        <v>52</v>
      </c>
      <c r="K80" s="5" t="s">
        <v>747</v>
      </c>
      <c r="L80" s="5" t="s">
        <v>517</v>
      </c>
      <c r="M80" s="3" t="s">
        <v>381</v>
      </c>
      <c r="N80" s="3" t="s">
        <v>52</v>
      </c>
      <c r="O80" s="3" t="s">
        <v>52</v>
      </c>
      <c r="P80" s="3" t="s">
        <v>52</v>
      </c>
      <c r="Q80" s="3" t="s">
        <v>102</v>
      </c>
      <c r="R80" s="3" t="s">
        <v>52</v>
      </c>
      <c r="S80" s="3" t="s">
        <v>52</v>
      </c>
      <c r="T80" s="3" t="s">
        <v>56</v>
      </c>
      <c r="U80" s="3" t="s">
        <v>89</v>
      </c>
      <c r="V80" s="3" t="s">
        <v>748</v>
      </c>
      <c r="W80" s="3" t="s">
        <v>52</v>
      </c>
      <c r="X80" s="3" t="s">
        <v>52</v>
      </c>
      <c r="Y80" s="3" t="s">
        <v>52</v>
      </c>
      <c r="Z80" s="3" t="s">
        <v>52</v>
      </c>
      <c r="AA80" s="3" t="s">
        <v>52</v>
      </c>
      <c r="AB80" s="3" t="s">
        <v>59</v>
      </c>
      <c r="AD80" s="7" t="b">
        <v>0</v>
      </c>
      <c r="AE80" s="7" t="b">
        <v>0</v>
      </c>
      <c r="AF80" s="7" t="b">
        <v>0</v>
      </c>
      <c r="AG80" s="3" t="s">
        <v>60</v>
      </c>
      <c r="AH80" s="3" t="s">
        <v>52</v>
      </c>
      <c r="AI80" s="3" t="s">
        <v>52</v>
      </c>
      <c r="AJ80" s="3" t="s">
        <v>52</v>
      </c>
      <c r="AK80" s="3" t="s">
        <v>52</v>
      </c>
      <c r="AL80" s="7" t="b">
        <v>0</v>
      </c>
      <c r="AM80" s="3" t="s">
        <v>615</v>
      </c>
      <c r="AO80" s="2">
        <v>0</v>
      </c>
      <c r="AQ80" s="3" t="s">
        <v>76</v>
      </c>
      <c r="AR80" s="3" t="s">
        <v>77</v>
      </c>
      <c r="AS80" s="3" t="s">
        <v>52</v>
      </c>
      <c r="AT80" s="3" t="s">
        <v>52</v>
      </c>
      <c r="AU80" s="9"/>
      <c r="AV80" s="9"/>
      <c r="AW80" s="9">
        <v>1</v>
      </c>
      <c r="AX80" t="str">
        <f t="shared" si="1"/>
        <v>('MASON', 'DARRELL', 'NA MEETINGS', '301 N. DUNLOP STREET', 'PETERSBURG', 'VA', '23803', '(804) 255-5330', '', '4/5/1958', '2/6/2017', '1st &amp; 3rd Wed or 2nd &amp; 4th Sun 7:30pm-8:30pm', '', '', '', 'Life Experiences', '', '', 'Black', 'Male', '226-90-3812', '', '', '', '', '', 'SECULAR', '', 'FALSE', 'FALSE', 'FALSE', 'COVID INACTIVE', '', '', '', '', 'FALSE', 'April', '', '0', '', 'Main Jail', 'HU6', '', '', '', '', '1'),</v>
      </c>
    </row>
    <row r="81" spans="1:50" ht="38.25" x14ac:dyDescent="0.25">
      <c r="A81" s="2">
        <v>1340</v>
      </c>
      <c r="B81" s="3" t="s">
        <v>750</v>
      </c>
      <c r="C81" s="3" t="s">
        <v>751</v>
      </c>
      <c r="D81" s="3" t="s">
        <v>752</v>
      </c>
      <c r="E81" s="3" t="s">
        <v>753</v>
      </c>
      <c r="F81" s="3" t="s">
        <v>68</v>
      </c>
      <c r="G81" s="3" t="s">
        <v>50</v>
      </c>
      <c r="H81" s="4">
        <v>23805</v>
      </c>
      <c r="I81" s="3" t="s">
        <v>754</v>
      </c>
      <c r="J81" s="3" t="s">
        <v>755</v>
      </c>
      <c r="K81" s="5" t="s">
        <v>756</v>
      </c>
      <c r="L81" s="5" t="s">
        <v>757</v>
      </c>
      <c r="M81" s="3" t="s">
        <v>749</v>
      </c>
      <c r="N81" s="3" t="s">
        <v>52</v>
      </c>
      <c r="O81" s="3" t="s">
        <v>758</v>
      </c>
      <c r="P81" s="3" t="s">
        <v>52</v>
      </c>
      <c r="Q81" s="3" t="s">
        <v>52</v>
      </c>
      <c r="R81" s="3" t="s">
        <v>52</v>
      </c>
      <c r="S81" s="3" t="s">
        <v>759</v>
      </c>
      <c r="T81" s="3" t="s">
        <v>103</v>
      </c>
      <c r="U81" s="3" t="s">
        <v>57</v>
      </c>
      <c r="V81" s="3" t="s">
        <v>760</v>
      </c>
      <c r="W81" s="3" t="s">
        <v>52</v>
      </c>
      <c r="X81" s="3" t="s">
        <v>761</v>
      </c>
      <c r="Y81" s="3" t="s">
        <v>762</v>
      </c>
      <c r="Z81" s="3" t="s">
        <v>763</v>
      </c>
      <c r="AA81" s="3" t="s">
        <v>52</v>
      </c>
      <c r="AB81" s="3" t="s">
        <v>75</v>
      </c>
      <c r="AD81" s="7" t="b">
        <v>0</v>
      </c>
      <c r="AE81" s="7" t="b">
        <v>0</v>
      </c>
      <c r="AF81" s="7" t="b">
        <v>0</v>
      </c>
      <c r="AG81" s="3" t="s">
        <v>60</v>
      </c>
      <c r="AH81" s="3" t="s">
        <v>52</v>
      </c>
      <c r="AI81" s="3" t="s">
        <v>52</v>
      </c>
      <c r="AJ81" s="3" t="s">
        <v>226</v>
      </c>
      <c r="AK81" s="3" t="s">
        <v>764</v>
      </c>
      <c r="AL81" s="7" t="b">
        <v>1</v>
      </c>
      <c r="AM81" s="3" t="s">
        <v>52</v>
      </c>
      <c r="AO81" s="2">
        <v>0</v>
      </c>
      <c r="AQ81" s="3" t="s">
        <v>52</v>
      </c>
      <c r="AR81" s="3" t="s">
        <v>52</v>
      </c>
      <c r="AS81" s="3" t="s">
        <v>52</v>
      </c>
      <c r="AT81" s="3" t="s">
        <v>52</v>
      </c>
      <c r="AU81" s="9"/>
      <c r="AV81" s="9"/>
      <c r="AW81" s="9">
        <v>1</v>
      </c>
      <c r="AX81" t="str">
        <f t="shared" si="1"/>
        <v>('MATTHEWS', 'SYLVIA', 'MINSTRY-BIBLE STUDY/TRAUMA HEALING GROUP', '1806 ARCH STREET', 'PETERSBURG', 'VA', '23805', '(804) 861-2601', '(804) 691-0710', '4/5/1941', '5/10/2017', 'TUE 9:00-11:00AM HU1A; FRI 9-11AM 1B; SUN-SAT 6-8PM 2ND WEEK', '', 'Monumental Baptist', '', '', '', 'CPTCLWN@AOL.COM', 'White', 'Female', '225-50-3513', '', '2925 South Crater Road, Petersburg, VA 23805', 'Dr. Barry Ginn', '(804) 733-8484', '', 'MINISTRY', '', 'FALSE', 'FALSE', 'FALSE', 'COVID INACTIVE', '', '', 'ON CALL', 'Monday -Saturday anytime; Sundays after 1430 hours', 'TRUE', '', '', '0', '', '', '', '', '', '', '', '1'),</v>
      </c>
    </row>
    <row r="82" spans="1:50" ht="25.5" x14ac:dyDescent="0.25">
      <c r="A82" s="2">
        <v>1263</v>
      </c>
      <c r="B82" s="3" t="s">
        <v>766</v>
      </c>
      <c r="C82" s="3" t="s">
        <v>767</v>
      </c>
      <c r="D82" s="3" t="s">
        <v>122</v>
      </c>
      <c r="E82" s="3" t="s">
        <v>768</v>
      </c>
      <c r="F82" s="3" t="s">
        <v>124</v>
      </c>
      <c r="G82" s="3" t="s">
        <v>50</v>
      </c>
      <c r="H82" s="4">
        <v>23831</v>
      </c>
      <c r="I82" s="3" t="s">
        <v>769</v>
      </c>
      <c r="J82" s="3" t="s">
        <v>52</v>
      </c>
      <c r="K82" s="5" t="s">
        <v>770</v>
      </c>
      <c r="L82" s="5" t="s">
        <v>193</v>
      </c>
      <c r="M82" s="3" t="s">
        <v>765</v>
      </c>
      <c r="N82" s="3" t="s">
        <v>52</v>
      </c>
      <c r="O82" s="3" t="s">
        <v>52</v>
      </c>
      <c r="P82" s="3" t="s">
        <v>52</v>
      </c>
      <c r="Q82" s="3" t="s">
        <v>102</v>
      </c>
      <c r="R82" s="3" t="s">
        <v>52</v>
      </c>
      <c r="S82" s="3" t="s">
        <v>52</v>
      </c>
      <c r="T82" s="3" t="s">
        <v>103</v>
      </c>
      <c r="U82" s="3" t="s">
        <v>89</v>
      </c>
      <c r="V82" s="3" t="s">
        <v>771</v>
      </c>
      <c r="W82" s="3" t="s">
        <v>52</v>
      </c>
      <c r="X82" s="3" t="s">
        <v>52</v>
      </c>
      <c r="Y82" s="3" t="s">
        <v>52</v>
      </c>
      <c r="Z82" s="3" t="s">
        <v>52</v>
      </c>
      <c r="AA82" s="3" t="s">
        <v>52</v>
      </c>
      <c r="AB82" s="3" t="s">
        <v>59</v>
      </c>
      <c r="AD82" s="7" t="b">
        <v>0</v>
      </c>
      <c r="AE82" s="7" t="b">
        <v>0</v>
      </c>
      <c r="AF82" s="7" t="b">
        <v>0</v>
      </c>
      <c r="AG82" s="3" t="s">
        <v>60</v>
      </c>
      <c r="AH82" s="3" t="s">
        <v>52</v>
      </c>
      <c r="AI82" s="3" t="s">
        <v>52</v>
      </c>
      <c r="AJ82" s="3" t="s">
        <v>52</v>
      </c>
      <c r="AK82" s="3" t="s">
        <v>52</v>
      </c>
      <c r="AL82" s="7" t="b">
        <v>0</v>
      </c>
      <c r="AM82" s="3" t="s">
        <v>176</v>
      </c>
      <c r="AO82" s="2">
        <v>0</v>
      </c>
      <c r="AQ82" s="3" t="s">
        <v>52</v>
      </c>
      <c r="AR82" s="3" t="s">
        <v>52</v>
      </c>
      <c r="AS82" s="3" t="s">
        <v>52</v>
      </c>
      <c r="AT82" s="3" t="s">
        <v>52</v>
      </c>
      <c r="AU82" s="9"/>
      <c r="AV82" s="9"/>
      <c r="AW82" s="9">
        <v>1</v>
      </c>
      <c r="AX82" t="str">
        <f t="shared" si="1"/>
        <v>('MCDUFF', 'JOHN', 'AA MEETINGS', '12533 RICHMOND STREET', 'CHESTER', 'VA', '23831', '(757) 560-0942', '', '11/15/1972', '9/28/2018', '2nd &amp; 4th Wed 7:30pm-8:30pm', '', '', '', 'Life Experiences', '', '', 'White', 'Male', '587-06-2958', '', '', '', '', '', 'SECULAR', '', 'FALSE', 'FALSE', 'FALSE', 'COVID INACTIVE', '', '', '', '', 'FALSE', 'November', '', '0', '', '', '', '', '', '', '', '1'),</v>
      </c>
    </row>
    <row r="83" spans="1:50" ht="51" x14ac:dyDescent="0.25">
      <c r="A83" s="2">
        <v>1341</v>
      </c>
      <c r="B83" s="3" t="s">
        <v>772</v>
      </c>
      <c r="C83" s="3" t="s">
        <v>773</v>
      </c>
      <c r="D83" s="3" t="s">
        <v>148</v>
      </c>
      <c r="E83" s="3" t="s">
        <v>774</v>
      </c>
      <c r="F83" s="3" t="s">
        <v>49</v>
      </c>
      <c r="G83" s="3" t="s">
        <v>50</v>
      </c>
      <c r="H83" s="4">
        <v>23236</v>
      </c>
      <c r="I83" s="3" t="s">
        <v>775</v>
      </c>
      <c r="J83" s="3" t="s">
        <v>776</v>
      </c>
      <c r="K83" s="5" t="s">
        <v>777</v>
      </c>
      <c r="L83" s="5" t="s">
        <v>778</v>
      </c>
      <c r="M83" s="3" t="s">
        <v>52</v>
      </c>
      <c r="N83" s="3" t="s">
        <v>52</v>
      </c>
      <c r="O83" s="3" t="s">
        <v>779</v>
      </c>
      <c r="P83" s="3" t="s">
        <v>52</v>
      </c>
      <c r="Q83" s="3" t="s">
        <v>685</v>
      </c>
      <c r="R83" s="3" t="s">
        <v>52</v>
      </c>
      <c r="S83" s="3" t="s">
        <v>780</v>
      </c>
      <c r="T83" s="3" t="s">
        <v>52</v>
      </c>
      <c r="U83" s="3" t="s">
        <v>89</v>
      </c>
      <c r="V83" s="3" t="s">
        <v>781</v>
      </c>
      <c r="W83" s="3" t="s">
        <v>52</v>
      </c>
      <c r="X83" s="3" t="s">
        <v>782</v>
      </c>
      <c r="Y83" s="3" t="s">
        <v>783</v>
      </c>
      <c r="Z83" s="3" t="s">
        <v>784</v>
      </c>
      <c r="AA83" s="3" t="s">
        <v>52</v>
      </c>
      <c r="AB83" s="3" t="s">
        <v>75</v>
      </c>
      <c r="AD83" s="7" t="b">
        <v>0</v>
      </c>
      <c r="AE83" s="7" t="b">
        <v>0</v>
      </c>
      <c r="AF83" s="7" t="b">
        <v>0</v>
      </c>
      <c r="AG83" s="3" t="s">
        <v>60</v>
      </c>
      <c r="AH83" s="3" t="s">
        <v>52</v>
      </c>
      <c r="AI83" s="3" t="s">
        <v>52</v>
      </c>
      <c r="AJ83" s="3" t="s">
        <v>226</v>
      </c>
      <c r="AK83" s="3" t="s">
        <v>785</v>
      </c>
      <c r="AL83" s="7" t="b">
        <v>1</v>
      </c>
      <c r="AM83" s="3" t="s">
        <v>440</v>
      </c>
      <c r="AO83" s="2">
        <v>0</v>
      </c>
      <c r="AQ83" s="3" t="s">
        <v>52</v>
      </c>
      <c r="AR83" s="3" t="s">
        <v>52</v>
      </c>
      <c r="AS83" s="3" t="s">
        <v>52</v>
      </c>
      <c r="AT83" s="3" t="s">
        <v>52</v>
      </c>
      <c r="AU83" s="9"/>
      <c r="AV83" s="9"/>
      <c r="AW83" s="9">
        <v>1</v>
      </c>
      <c r="AX83" t="str">
        <f t="shared" si="1"/>
        <v>('MCGUIRE', 'GRIFFIN', 'MINISTRY-SUNDAY SERVICE', '11430 SMOKETREE DRIVE', 'RICHMOND', 'VA', '23236', '(804) 379-3202', '(804) 305-0163', '2/23/1956', '8/31/2018', '', '', 'Mount Herman Baptist', '', 'License', '', 'griffin.mcguire@cc.virginia.gov', '', 'Male', '350-52-6005', '', 'Moseley, VA', 'Lee Ellison', '(804) 921-6010', '', 'MINISTRY', '', 'FALSE', 'FALSE', 'FALSE', 'COVID INACTIVE', '', '', 'ON CALL', 'Friday after 1330 hrs; Saturday anytime; Sunday after 1300 hrs', 'TRUE', 'February', '', '0', '', '', '', '', '', '', '', '1'),</v>
      </c>
    </row>
    <row r="84" spans="1:50" ht="25.5" x14ac:dyDescent="0.25">
      <c r="A84" s="2">
        <v>1386</v>
      </c>
      <c r="B84" s="3" t="s">
        <v>786</v>
      </c>
      <c r="C84" s="3" t="s">
        <v>787</v>
      </c>
      <c r="D84" s="3" t="s">
        <v>541</v>
      </c>
      <c r="E84" s="3" t="s">
        <v>788</v>
      </c>
      <c r="F84" s="3" t="s">
        <v>789</v>
      </c>
      <c r="G84" s="3" t="s">
        <v>50</v>
      </c>
      <c r="H84" s="4">
        <v>23868</v>
      </c>
      <c r="I84" s="3" t="s">
        <v>52</v>
      </c>
      <c r="J84" s="3" t="s">
        <v>790</v>
      </c>
      <c r="K84" s="5" t="s">
        <v>791</v>
      </c>
      <c r="L84" s="5" t="s">
        <v>585</v>
      </c>
      <c r="M84" s="3" t="s">
        <v>477</v>
      </c>
      <c r="N84" s="3" t="s">
        <v>52</v>
      </c>
      <c r="O84" s="3" t="s">
        <v>52</v>
      </c>
      <c r="P84" s="3" t="s">
        <v>52</v>
      </c>
      <c r="Q84" s="3" t="s">
        <v>172</v>
      </c>
      <c r="R84" s="3" t="s">
        <v>52</v>
      </c>
      <c r="S84" s="3" t="s">
        <v>792</v>
      </c>
      <c r="T84" s="3" t="s">
        <v>56</v>
      </c>
      <c r="U84" s="3" t="s">
        <v>57</v>
      </c>
      <c r="V84" s="3" t="s">
        <v>793</v>
      </c>
      <c r="W84" s="3" t="s">
        <v>52</v>
      </c>
      <c r="X84" s="3" t="s">
        <v>52</v>
      </c>
      <c r="Y84" s="3" t="s">
        <v>52</v>
      </c>
      <c r="Z84" s="3" t="s">
        <v>52</v>
      </c>
      <c r="AA84" s="3" t="s">
        <v>52</v>
      </c>
      <c r="AB84" s="3" t="s">
        <v>59</v>
      </c>
      <c r="AD84" s="7" t="b">
        <v>0</v>
      </c>
      <c r="AE84" s="7" t="b">
        <v>0</v>
      </c>
      <c r="AF84" s="7" t="b">
        <v>0</v>
      </c>
      <c r="AG84" s="3" t="s">
        <v>91</v>
      </c>
      <c r="AH84" s="3" t="s">
        <v>52</v>
      </c>
      <c r="AI84" s="3" t="s">
        <v>52</v>
      </c>
      <c r="AJ84" s="3" t="s">
        <v>52</v>
      </c>
      <c r="AK84" s="3" t="s">
        <v>52</v>
      </c>
      <c r="AL84" s="7" t="b">
        <v>0</v>
      </c>
      <c r="AM84" s="3" t="s">
        <v>92</v>
      </c>
      <c r="AO84" s="2">
        <v>0</v>
      </c>
      <c r="AQ84" s="3" t="s">
        <v>52</v>
      </c>
      <c r="AR84" s="3" t="s">
        <v>52</v>
      </c>
      <c r="AS84" s="3" t="s">
        <v>52</v>
      </c>
      <c r="AT84" s="3" t="s">
        <v>52</v>
      </c>
      <c r="AU84" s="9"/>
      <c r="AV84" s="9"/>
      <c r="AW84" s="9">
        <v>1</v>
      </c>
      <c r="AX84" t="str">
        <f t="shared" si="1"/>
        <v>('MCMILLAN', 'MONICA', 'RE-ENTRY WORKFORCE', '329 FRESH MEADOWS ROAD', 'LAWRENCEVILLE', 'VA', '23868', '', '(717) 557-4039', '10/12/1976', '9/14/2022', 'Wed 9:00am-3:00pm', '', '', '', 'MOU', '', 'mmcmillan@mcmserves.org', 'Black', 'Female', '227-45-1065', '', '', '', '', '', 'SECULAR', '', 'FALSE', 'FALSE', 'FALSE', 'ACTIVE', '', '', '', '', 'FALSE', 'October', '', '0', '', '', '', '', '', '', '', '1'),</v>
      </c>
    </row>
    <row r="85" spans="1:50" ht="25.5" x14ac:dyDescent="0.25">
      <c r="A85" s="2">
        <v>1272</v>
      </c>
      <c r="B85" s="3" t="s">
        <v>794</v>
      </c>
      <c r="C85" s="3" t="s">
        <v>795</v>
      </c>
      <c r="D85" s="3" t="s">
        <v>796</v>
      </c>
      <c r="E85" s="3" t="s">
        <v>797</v>
      </c>
      <c r="F85" s="3" t="s">
        <v>68</v>
      </c>
      <c r="G85" s="3" t="s">
        <v>50</v>
      </c>
      <c r="H85" s="4">
        <v>23805</v>
      </c>
      <c r="I85" s="3" t="s">
        <v>798</v>
      </c>
      <c r="J85" s="3" t="s">
        <v>52</v>
      </c>
      <c r="K85" s="5" t="s">
        <v>799</v>
      </c>
      <c r="L85" s="5" t="s">
        <v>800</v>
      </c>
      <c r="M85" s="3" t="s">
        <v>698</v>
      </c>
      <c r="N85" s="3" t="s">
        <v>52</v>
      </c>
      <c r="O85" s="3" t="s">
        <v>52</v>
      </c>
      <c r="P85" s="3" t="s">
        <v>52</v>
      </c>
      <c r="Q85" s="3" t="s">
        <v>685</v>
      </c>
      <c r="R85" s="3" t="s">
        <v>52</v>
      </c>
      <c r="S85" s="3" t="s">
        <v>52</v>
      </c>
      <c r="T85" s="3" t="s">
        <v>103</v>
      </c>
      <c r="U85" s="3" t="s">
        <v>57</v>
      </c>
      <c r="V85" s="3" t="s">
        <v>801</v>
      </c>
      <c r="W85" s="3" t="s">
        <v>52</v>
      </c>
      <c r="X85" s="3" t="s">
        <v>52</v>
      </c>
      <c r="Y85" s="3" t="s">
        <v>52</v>
      </c>
      <c r="Z85" s="3" t="s">
        <v>52</v>
      </c>
      <c r="AA85" s="3" t="s">
        <v>52</v>
      </c>
      <c r="AB85" s="3" t="s">
        <v>59</v>
      </c>
      <c r="AD85" s="7" t="b">
        <v>0</v>
      </c>
      <c r="AE85" s="7" t="b">
        <v>0</v>
      </c>
      <c r="AF85" s="7" t="b">
        <v>0</v>
      </c>
      <c r="AG85" s="3" t="s">
        <v>60</v>
      </c>
      <c r="AH85" s="3" t="s">
        <v>52</v>
      </c>
      <c r="AI85" s="3" t="s">
        <v>52</v>
      </c>
      <c r="AJ85" s="3" t="s">
        <v>52</v>
      </c>
      <c r="AK85" s="3" t="s">
        <v>52</v>
      </c>
      <c r="AL85" s="7" t="b">
        <v>0</v>
      </c>
      <c r="AM85" s="3" t="s">
        <v>237</v>
      </c>
      <c r="AO85" s="2">
        <v>0</v>
      </c>
      <c r="AQ85" s="3" t="s">
        <v>52</v>
      </c>
      <c r="AR85" s="3" t="s">
        <v>52</v>
      </c>
      <c r="AS85" s="3" t="s">
        <v>52</v>
      </c>
      <c r="AT85" s="3" t="s">
        <v>52</v>
      </c>
      <c r="AU85" s="9"/>
      <c r="AV85" s="9"/>
      <c r="AW85" s="9">
        <v>1</v>
      </c>
      <c r="AX85" t="str">
        <f t="shared" si="1"/>
        <v>('MCREYNOLDS', 'TRACEY', 'REENTRY REGENESIS HOUSING', '1578 BRANDON AVENUE', 'PETERSBURG', 'VA', '23805', '(804) 712-7620', '', '8/23/1968', '7/25/2006', 'Mon-Fri 9:00am-11:00am', '', '', '', 'License', '', '', 'White', 'Female', '397-86-5741', '', '', '', '', '', 'SECULAR', '', 'FALSE', 'FALSE', 'FALSE', 'COVID INACTIVE', '', '', '', '', 'FALSE', 'January', '', '0', '', '', '', '', '', '', '', '1'),</v>
      </c>
    </row>
    <row r="86" spans="1:50" ht="25.5" x14ac:dyDescent="0.25">
      <c r="A86" s="2">
        <v>1273</v>
      </c>
      <c r="B86" s="3" t="s">
        <v>794</v>
      </c>
      <c r="C86" s="3" t="s">
        <v>802</v>
      </c>
      <c r="D86" s="3" t="s">
        <v>796</v>
      </c>
      <c r="E86" s="3" t="s">
        <v>797</v>
      </c>
      <c r="F86" s="3" t="s">
        <v>68</v>
      </c>
      <c r="G86" s="3" t="s">
        <v>50</v>
      </c>
      <c r="H86" s="4">
        <v>23805</v>
      </c>
      <c r="I86" s="3" t="s">
        <v>803</v>
      </c>
      <c r="J86" s="3" t="s">
        <v>52</v>
      </c>
      <c r="K86" s="5" t="s">
        <v>804</v>
      </c>
      <c r="L86" s="5" t="s">
        <v>800</v>
      </c>
      <c r="M86" s="3" t="s">
        <v>698</v>
      </c>
      <c r="N86" s="3" t="s">
        <v>52</v>
      </c>
      <c r="O86" s="3" t="s">
        <v>52</v>
      </c>
      <c r="P86" s="3" t="s">
        <v>52</v>
      </c>
      <c r="Q86" s="3" t="s">
        <v>685</v>
      </c>
      <c r="R86" s="3" t="s">
        <v>52</v>
      </c>
      <c r="S86" s="3" t="s">
        <v>52</v>
      </c>
      <c r="T86" s="3" t="s">
        <v>103</v>
      </c>
      <c r="U86" s="3" t="s">
        <v>89</v>
      </c>
      <c r="V86" s="3" t="s">
        <v>805</v>
      </c>
      <c r="W86" s="3" t="s">
        <v>52</v>
      </c>
      <c r="X86" s="3" t="s">
        <v>52</v>
      </c>
      <c r="Y86" s="3" t="s">
        <v>52</v>
      </c>
      <c r="Z86" s="3" t="s">
        <v>52</v>
      </c>
      <c r="AA86" s="3" t="s">
        <v>52</v>
      </c>
      <c r="AB86" s="3" t="s">
        <v>59</v>
      </c>
      <c r="AD86" s="7" t="b">
        <v>0</v>
      </c>
      <c r="AE86" s="7" t="b">
        <v>0</v>
      </c>
      <c r="AF86" s="7" t="b">
        <v>0</v>
      </c>
      <c r="AG86" s="3" t="s">
        <v>60</v>
      </c>
      <c r="AH86" s="3" t="s">
        <v>52</v>
      </c>
      <c r="AI86" s="3" t="s">
        <v>52</v>
      </c>
      <c r="AJ86" s="3" t="s">
        <v>52</v>
      </c>
      <c r="AK86" s="3" t="s">
        <v>52</v>
      </c>
      <c r="AL86" s="7" t="b">
        <v>0</v>
      </c>
      <c r="AM86" s="3" t="s">
        <v>248</v>
      </c>
      <c r="AO86" s="2">
        <v>0</v>
      </c>
      <c r="AQ86" s="3" t="s">
        <v>52</v>
      </c>
      <c r="AR86" s="3" t="s">
        <v>52</v>
      </c>
      <c r="AS86" s="3" t="s">
        <v>52</v>
      </c>
      <c r="AT86" s="3" t="s">
        <v>52</v>
      </c>
      <c r="AU86" s="9"/>
      <c r="AV86" s="9"/>
      <c r="AW86" s="9">
        <v>1</v>
      </c>
      <c r="AX86" t="str">
        <f t="shared" si="1"/>
        <v>('MCREYNOLDS', 'GARY', 'REENTRY REGENESIS HOUSING', '1578 BRANDON AVENUE', 'PETERSBURG', 'VA', '23805', '(804) 720-5473', '', '6/6/1964', '7/25/2006', 'Mon-Fri 9:00am-11:00am', '', '', '', 'License', '', '', 'White', 'Male', '232-17-9152', '', '', '', '', '', 'SECULAR', '', 'FALSE', 'FALSE', 'FALSE', 'COVID INACTIVE', '', '', '', '', 'FALSE', 'June', '', '0', '', '', '', '', '', '', '', '1'),</v>
      </c>
    </row>
    <row r="87" spans="1:50" ht="25.5" x14ac:dyDescent="0.25">
      <c r="A87" s="2">
        <v>1342</v>
      </c>
      <c r="B87" s="3" t="s">
        <v>807</v>
      </c>
      <c r="C87" s="3" t="s">
        <v>808</v>
      </c>
      <c r="D87" s="3" t="s">
        <v>148</v>
      </c>
      <c r="E87" s="3" t="s">
        <v>809</v>
      </c>
      <c r="F87" s="3" t="s">
        <v>49</v>
      </c>
      <c r="G87" s="3" t="s">
        <v>50</v>
      </c>
      <c r="H87" s="4">
        <v>23221</v>
      </c>
      <c r="I87" s="3" t="s">
        <v>810</v>
      </c>
      <c r="J87" s="3" t="s">
        <v>811</v>
      </c>
      <c r="K87" s="5" t="s">
        <v>52</v>
      </c>
      <c r="L87" s="5" t="s">
        <v>52</v>
      </c>
      <c r="M87" s="3" t="s">
        <v>806</v>
      </c>
      <c r="N87" s="3" t="s">
        <v>52</v>
      </c>
      <c r="O87" s="3" t="s">
        <v>52</v>
      </c>
      <c r="P87" s="3" t="s">
        <v>52</v>
      </c>
      <c r="Q87" s="3" t="s">
        <v>52</v>
      </c>
      <c r="R87" s="3" t="s">
        <v>52</v>
      </c>
      <c r="S87" s="3" t="s">
        <v>52</v>
      </c>
      <c r="T87" s="3" t="s">
        <v>56</v>
      </c>
      <c r="U87" s="3" t="s">
        <v>89</v>
      </c>
      <c r="V87" s="3" t="s">
        <v>52</v>
      </c>
      <c r="W87" s="3" t="s">
        <v>52</v>
      </c>
      <c r="X87" s="3" t="s">
        <v>52</v>
      </c>
      <c r="Y87" s="3" t="s">
        <v>52</v>
      </c>
      <c r="Z87" s="3" t="s">
        <v>52</v>
      </c>
      <c r="AA87" s="3" t="s">
        <v>52</v>
      </c>
      <c r="AB87" s="3" t="s">
        <v>75</v>
      </c>
      <c r="AD87" s="7" t="b">
        <v>0</v>
      </c>
      <c r="AE87" s="7" t="b">
        <v>0</v>
      </c>
      <c r="AF87" s="7" t="b">
        <v>0</v>
      </c>
      <c r="AG87" s="3" t="s">
        <v>60</v>
      </c>
      <c r="AH87" s="3" t="s">
        <v>52</v>
      </c>
      <c r="AI87" s="3" t="s">
        <v>52</v>
      </c>
      <c r="AJ87" s="3" t="s">
        <v>52</v>
      </c>
      <c r="AK87" s="3" t="s">
        <v>52</v>
      </c>
      <c r="AL87" s="7" t="b">
        <v>0</v>
      </c>
      <c r="AM87" s="3" t="s">
        <v>52</v>
      </c>
      <c r="AO87" s="2">
        <v>0</v>
      </c>
      <c r="AQ87" s="3" t="s">
        <v>52</v>
      </c>
      <c r="AR87" s="3" t="s">
        <v>52</v>
      </c>
      <c r="AS87" s="3" t="s">
        <v>52</v>
      </c>
      <c r="AT87" s="3" t="s">
        <v>52</v>
      </c>
      <c r="AU87" s="9"/>
      <c r="AV87" s="9"/>
      <c r="AW87" s="9">
        <v>1</v>
      </c>
      <c r="AX87" t="str">
        <f t="shared" si="1"/>
        <v>('MERRIWEATHER', 'ANTHONY', 'MINISTRY-SUNDAY SERVICE', '3234 GARRETT STREET', 'RICHMOND', 'VA', '23221', '(804) 712-5431', '(804) 359-0554', '', '', '2ND SUN 9:30-10:45AM HU2A', '', '', '', '', '', '', 'Black', 'Male', '', '', '', '', '', '', 'MINISTRY', '', 'FALSE', 'FALSE', 'FALSE', 'COVID INACTIVE', '', '', '', '', 'FALSE', '', '', '0', '', '', '', '', '', '', '', '1'),</v>
      </c>
    </row>
    <row r="88" spans="1:50" ht="25.5" x14ac:dyDescent="0.25">
      <c r="A88" s="2">
        <v>1343</v>
      </c>
      <c r="B88" s="3" t="s">
        <v>812</v>
      </c>
      <c r="C88" s="3" t="s">
        <v>813</v>
      </c>
      <c r="D88" s="3" t="s">
        <v>814</v>
      </c>
      <c r="E88" s="3" t="s">
        <v>815</v>
      </c>
      <c r="F88" s="3" t="s">
        <v>124</v>
      </c>
      <c r="G88" s="3" t="s">
        <v>50</v>
      </c>
      <c r="H88" s="4">
        <v>23831</v>
      </c>
      <c r="I88" s="3" t="s">
        <v>816</v>
      </c>
      <c r="J88" s="3" t="s">
        <v>52</v>
      </c>
      <c r="K88" s="5" t="s">
        <v>817</v>
      </c>
      <c r="L88" s="5" t="s">
        <v>818</v>
      </c>
      <c r="M88" s="3" t="s">
        <v>78</v>
      </c>
      <c r="N88" s="3" t="s">
        <v>52</v>
      </c>
      <c r="O88" s="3" t="s">
        <v>819</v>
      </c>
      <c r="P88" s="3" t="s">
        <v>52</v>
      </c>
      <c r="Q88" s="3" t="s">
        <v>52</v>
      </c>
      <c r="R88" s="3" t="s">
        <v>52</v>
      </c>
      <c r="S88" s="3" t="s">
        <v>820</v>
      </c>
      <c r="T88" s="3" t="s">
        <v>103</v>
      </c>
      <c r="U88" s="3" t="s">
        <v>89</v>
      </c>
      <c r="V88" s="3" t="s">
        <v>821</v>
      </c>
      <c r="W88" s="3" t="s">
        <v>52</v>
      </c>
      <c r="X88" s="3" t="s">
        <v>52</v>
      </c>
      <c r="Y88" s="3" t="s">
        <v>822</v>
      </c>
      <c r="Z88" s="3" t="s">
        <v>823</v>
      </c>
      <c r="AA88" s="3" t="s">
        <v>52</v>
      </c>
      <c r="AB88" s="3" t="s">
        <v>75</v>
      </c>
      <c r="AD88" s="7" t="b">
        <v>0</v>
      </c>
      <c r="AE88" s="7" t="b">
        <v>0</v>
      </c>
      <c r="AF88" s="7" t="b">
        <v>0</v>
      </c>
      <c r="AG88" s="3" t="s">
        <v>60</v>
      </c>
      <c r="AH88" s="3" t="s">
        <v>52</v>
      </c>
      <c r="AI88" s="3" t="s">
        <v>52</v>
      </c>
      <c r="AJ88" s="3" t="s">
        <v>226</v>
      </c>
      <c r="AK88" s="3" t="s">
        <v>824</v>
      </c>
      <c r="AL88" s="7" t="b">
        <v>1</v>
      </c>
      <c r="AM88" s="3" t="s">
        <v>615</v>
      </c>
      <c r="AO88" s="2">
        <v>0</v>
      </c>
      <c r="AQ88" s="3" t="s">
        <v>52</v>
      </c>
      <c r="AR88" s="3" t="s">
        <v>52</v>
      </c>
      <c r="AS88" s="3" t="s">
        <v>490</v>
      </c>
      <c r="AT88" s="3" t="s">
        <v>52</v>
      </c>
      <c r="AU88" s="9"/>
      <c r="AV88" s="9"/>
      <c r="AW88" s="9">
        <v>1</v>
      </c>
      <c r="AX88" t="str">
        <f t="shared" si="1"/>
        <v>('MICHAELIS', 'SCOTT', 'MINISTRY-TRAUMA HEALING/COUNSELING', '4930 COOL SPRING DRIVE', 'CHESTER', 'VA', '23831', '(804) 339-0346', '', '4/13/1965', '11/1/2016', 'Varies', '', 'Colonial Baptist Church', '', '', '', 'scottmichaelis@comcast.net', 'White', 'Male', '217-72-1430', '', '', 'Randy Hahn', '(804) 526-0424', '', 'MINISTRY', '', 'FALSE', 'FALSE', 'FALSE', 'COVID INACTIVE', '', '', 'ON CALL', 'Monday evenings', 'TRUE', 'April', '', '0', '', '', '', 'Baptist', '', '', '', '1'),</v>
      </c>
    </row>
    <row r="89" spans="1:50" ht="38.25" x14ac:dyDescent="0.25">
      <c r="A89" s="2">
        <v>1284</v>
      </c>
      <c r="B89" s="3" t="s">
        <v>826</v>
      </c>
      <c r="C89" s="3" t="s">
        <v>827</v>
      </c>
      <c r="D89" s="3" t="s">
        <v>828</v>
      </c>
      <c r="E89" s="3" t="s">
        <v>829</v>
      </c>
      <c r="F89" s="3" t="s">
        <v>68</v>
      </c>
      <c r="G89" s="3" t="s">
        <v>50</v>
      </c>
      <c r="H89" s="4">
        <v>23803</v>
      </c>
      <c r="I89" s="3" t="s">
        <v>830</v>
      </c>
      <c r="J89" s="3" t="s">
        <v>52</v>
      </c>
      <c r="K89" s="5" t="s">
        <v>831</v>
      </c>
      <c r="L89" s="5" t="s">
        <v>437</v>
      </c>
      <c r="M89" s="3" t="s">
        <v>825</v>
      </c>
      <c r="N89" s="3" t="s">
        <v>52</v>
      </c>
      <c r="O89" s="3" t="s">
        <v>52</v>
      </c>
      <c r="P89" s="3" t="s">
        <v>52</v>
      </c>
      <c r="Q89" s="3" t="s">
        <v>73</v>
      </c>
      <c r="R89" s="3" t="s">
        <v>52</v>
      </c>
      <c r="S89" s="3" t="s">
        <v>832</v>
      </c>
      <c r="T89" s="3" t="s">
        <v>275</v>
      </c>
      <c r="U89" s="3" t="s">
        <v>57</v>
      </c>
      <c r="V89" s="3" t="s">
        <v>833</v>
      </c>
      <c r="W89" s="3" t="s">
        <v>52</v>
      </c>
      <c r="X89" s="3" t="s">
        <v>52</v>
      </c>
      <c r="Y89" s="3" t="s">
        <v>52</v>
      </c>
      <c r="Z89" s="3" t="s">
        <v>52</v>
      </c>
      <c r="AA89" s="3" t="s">
        <v>52</v>
      </c>
      <c r="AB89" s="3" t="s">
        <v>75</v>
      </c>
      <c r="AD89" s="7" t="b">
        <v>0</v>
      </c>
      <c r="AE89" s="7" t="b">
        <v>0</v>
      </c>
      <c r="AF89" s="7" t="b">
        <v>0</v>
      </c>
      <c r="AG89" s="3" t="s">
        <v>60</v>
      </c>
      <c r="AH89" s="3" t="s">
        <v>52</v>
      </c>
      <c r="AI89" s="10" t="s">
        <v>1320</v>
      </c>
      <c r="AJ89" s="3" t="s">
        <v>52</v>
      </c>
      <c r="AK89" s="3" t="s">
        <v>52</v>
      </c>
      <c r="AL89" s="7" t="b">
        <v>0</v>
      </c>
      <c r="AM89" s="3" t="s">
        <v>217</v>
      </c>
      <c r="AO89" s="2">
        <v>0</v>
      </c>
      <c r="AQ89" s="3" t="s">
        <v>76</v>
      </c>
      <c r="AR89" s="3" t="s">
        <v>77</v>
      </c>
      <c r="AS89" s="3" t="s">
        <v>52</v>
      </c>
      <c r="AT89" s="3" t="s">
        <v>52</v>
      </c>
      <c r="AU89" s="9"/>
      <c r="AV89" s="9"/>
      <c r="AW89" s="9">
        <v>1</v>
      </c>
      <c r="AX89" t="str">
        <f t="shared" si="1"/>
        <v>('MIDDLETON', 'ELSA', 'MINISTRY-BIBLE STUDY/SPANISH TRANSLATORTERPRETER/SPANISH', '1871 PENDER AVENUE', 'PETERSBURG', 'VA', '23803', '(804) 720-8903', '', '7/14/1954', '6/27/2019', 'Mon 9:30am-11:00am HU1A/B; Wed 1:00-2:00pm HU1CB; Sat 1:00-2:30pm HU6', '', '', '', 'Letter of Recommendation', '', 'emiddleton6@gmail.com', 'Hispanic', 'Female', '552-98-9314', '', '', '', '', '', 'MINISTRY', '', 'FALSE', 'FALSE', 'FALSE', 'COVID INACTIVE', '', 'JEHOVAHS WITNESS', '', '', 'FALSE', 'March', '', '0', '', 'Main Jail', 'HU6', '', '', '', '', '1'),</v>
      </c>
    </row>
    <row r="90" spans="1:50" ht="25.5" x14ac:dyDescent="0.25">
      <c r="A90" s="2">
        <v>1345</v>
      </c>
      <c r="B90" s="3" t="s">
        <v>835</v>
      </c>
      <c r="C90" s="3" t="s">
        <v>836</v>
      </c>
      <c r="D90" s="3" t="s">
        <v>148</v>
      </c>
      <c r="E90" s="3" t="s">
        <v>837</v>
      </c>
      <c r="F90" s="3" t="s">
        <v>619</v>
      </c>
      <c r="G90" s="3" t="s">
        <v>50</v>
      </c>
      <c r="H90" s="4">
        <v>23112</v>
      </c>
      <c r="I90" s="3" t="s">
        <v>838</v>
      </c>
      <c r="J90" s="3" t="s">
        <v>838</v>
      </c>
      <c r="K90" s="5" t="s">
        <v>839</v>
      </c>
      <c r="L90" s="5" t="s">
        <v>840</v>
      </c>
      <c r="M90" s="3" t="s">
        <v>834</v>
      </c>
      <c r="N90" s="3" t="s">
        <v>52</v>
      </c>
      <c r="O90" s="3" t="s">
        <v>841</v>
      </c>
      <c r="P90" s="3" t="s">
        <v>52</v>
      </c>
      <c r="Q90" s="3" t="s">
        <v>52</v>
      </c>
      <c r="R90" s="3" t="s">
        <v>52</v>
      </c>
      <c r="S90" s="3" t="s">
        <v>842</v>
      </c>
      <c r="T90" s="3" t="s">
        <v>56</v>
      </c>
      <c r="U90" s="3" t="s">
        <v>89</v>
      </c>
      <c r="V90" s="3" t="s">
        <v>843</v>
      </c>
      <c r="W90" s="3" t="s">
        <v>52</v>
      </c>
      <c r="X90" s="3" t="s">
        <v>52</v>
      </c>
      <c r="Y90" s="3" t="s">
        <v>844</v>
      </c>
      <c r="Z90" s="3" t="s">
        <v>52</v>
      </c>
      <c r="AA90" s="3" t="s">
        <v>52</v>
      </c>
      <c r="AB90" s="3" t="s">
        <v>75</v>
      </c>
      <c r="AD90" s="7" t="b">
        <v>0</v>
      </c>
      <c r="AE90" s="7" t="b">
        <v>0</v>
      </c>
      <c r="AF90" s="7" t="b">
        <v>0</v>
      </c>
      <c r="AG90" s="3" t="s">
        <v>60</v>
      </c>
      <c r="AH90" s="3" t="s">
        <v>52</v>
      </c>
      <c r="AI90" s="3" t="s">
        <v>845</v>
      </c>
      <c r="AJ90" s="3" t="s">
        <v>52</v>
      </c>
      <c r="AK90" s="3" t="s">
        <v>52</v>
      </c>
      <c r="AL90" s="7" t="b">
        <v>0</v>
      </c>
      <c r="AM90" s="3" t="s">
        <v>131</v>
      </c>
      <c r="AO90" s="2">
        <v>0</v>
      </c>
      <c r="AQ90" s="3" t="s">
        <v>52</v>
      </c>
      <c r="AR90" s="3" t="s">
        <v>52</v>
      </c>
      <c r="AS90" s="3" t="s">
        <v>380</v>
      </c>
      <c r="AT90" s="3" t="s">
        <v>52</v>
      </c>
      <c r="AU90" s="9"/>
      <c r="AV90" s="9"/>
      <c r="AW90" s="9">
        <v>1</v>
      </c>
      <c r="AX90" t="str">
        <f t="shared" si="1"/>
        <v>('MILLER', 'TONY', 'MINISTRY-SUNDAY SERVICE', '13001 CROWN RIDGE LOOP #102', 'MIDLOTHIAN', 'VA', '23112', '(804) 536-5252', '(804) 536-5252', '5/27/1966', '2/28/2017', '3RD SUN 9:30-10:45 HU3B, E, 1CC,MH MALES', '', 'Mt. Gilead Full Gospel', '', '', '', 'chelestony1@aol.com', 'Black', 'Male', '230-25-7866', '', '', 'Daniel Robertson JR', '', '', 'MINISTRY', '', 'FALSE', 'FALSE', 'FALSE', 'COVID INACTIVE', '', 'Non-Denominational', '', '', 'FALSE', 'May', '', '0', '', '', '', 'Nondenominational', '', '', '', '1'),</v>
      </c>
    </row>
    <row r="91" spans="1:50" ht="25.5" x14ac:dyDescent="0.25">
      <c r="A91" s="2">
        <v>420</v>
      </c>
      <c r="B91" s="3" t="s">
        <v>847</v>
      </c>
      <c r="C91" s="3" t="s">
        <v>848</v>
      </c>
      <c r="D91" s="3" t="s">
        <v>849</v>
      </c>
      <c r="E91" s="3" t="s">
        <v>850</v>
      </c>
      <c r="F91" s="3" t="s">
        <v>314</v>
      </c>
      <c r="G91" s="3" t="s">
        <v>50</v>
      </c>
      <c r="H91" s="4">
        <v>23834</v>
      </c>
      <c r="I91" s="3" t="s">
        <v>851</v>
      </c>
      <c r="J91" s="3" t="s">
        <v>852</v>
      </c>
      <c r="K91" s="5" t="s">
        <v>853</v>
      </c>
      <c r="L91" s="5" t="s">
        <v>854</v>
      </c>
      <c r="M91" s="3" t="s">
        <v>846</v>
      </c>
      <c r="N91" s="3" t="s">
        <v>52</v>
      </c>
      <c r="O91" s="3" t="s">
        <v>855</v>
      </c>
      <c r="P91" s="3" t="s">
        <v>52</v>
      </c>
      <c r="Q91" s="3" t="s">
        <v>73</v>
      </c>
      <c r="R91" s="3" t="s">
        <v>52</v>
      </c>
      <c r="S91" s="3" t="s">
        <v>856</v>
      </c>
      <c r="T91" s="3" t="s">
        <v>103</v>
      </c>
      <c r="U91" s="3" t="s">
        <v>89</v>
      </c>
      <c r="V91" s="3" t="s">
        <v>857</v>
      </c>
      <c r="W91" s="3" t="s">
        <v>52</v>
      </c>
      <c r="X91" s="3" t="s">
        <v>858</v>
      </c>
      <c r="Y91" s="3" t="s">
        <v>859</v>
      </c>
      <c r="Z91" s="3" t="s">
        <v>860</v>
      </c>
      <c r="AA91" s="3" t="s">
        <v>861</v>
      </c>
      <c r="AB91" s="3" t="s">
        <v>862</v>
      </c>
      <c r="AC91" s="6">
        <v>39970</v>
      </c>
      <c r="AD91" s="7" t="b">
        <v>1</v>
      </c>
      <c r="AE91" s="7" t="b">
        <v>1</v>
      </c>
      <c r="AF91" s="7" t="b">
        <v>1</v>
      </c>
      <c r="AG91" s="3" t="s">
        <v>60</v>
      </c>
      <c r="AH91" s="3" t="s">
        <v>52</v>
      </c>
      <c r="AI91" s="3" t="s">
        <v>863</v>
      </c>
      <c r="AJ91" s="3" t="s">
        <v>52</v>
      </c>
      <c r="AK91" s="3" t="s">
        <v>52</v>
      </c>
      <c r="AL91" s="7" t="b">
        <v>0</v>
      </c>
      <c r="AM91" s="3" t="s">
        <v>62</v>
      </c>
      <c r="AO91" s="2">
        <v>18</v>
      </c>
      <c r="AP91" s="6">
        <v>41538</v>
      </c>
      <c r="AQ91" s="3" t="s">
        <v>52</v>
      </c>
      <c r="AR91" s="3" t="s">
        <v>52</v>
      </c>
      <c r="AS91" s="3" t="s">
        <v>52</v>
      </c>
      <c r="AT91" s="3" t="s">
        <v>52</v>
      </c>
      <c r="AU91" s="9"/>
      <c r="AV91" s="9"/>
      <c r="AW91" s="9">
        <v>1</v>
      </c>
      <c r="AX91" t="str">
        <f t="shared" si="1"/>
        <v>('MINCKS', 'JEFFREY', 'AA MEETINGS/MINISTRY-CATHOLIC SERVICE', '209 CHESTERFIELD AVENUE', 'COLONIAL HEIGHTS', 'VA', '23834', '(804) 748-1491', '(804) 536-8291', '8/25/1953', '5/5/2005', 'Sat 10:00-11:00am/Fri 7:30-9:30pm', '', 'St. Anns Catholic Church', '', 'Letter of Recommendation', '', 'mincksj@chestefield.gov', 'White', 'Male', '289-44-1182', '', '17111 JEFFERSON DAVIS HIGHWAY', 'LOUIS RUOFF', '804-526-2548', 'Music Minister', 'MINISTRY/SECULAR', '39970', 'TRUE', 'TRUE', 'TRUE', 'COVID INACTIVE', '', 'Catholic Service', '', '', 'FALSE', 'August', '', '18', '41538', '', '', '', '', '', '', '1'),</v>
      </c>
    </row>
    <row r="92" spans="1:50" ht="25.5" x14ac:dyDescent="0.25">
      <c r="A92" s="2">
        <v>1374</v>
      </c>
      <c r="B92" s="3" t="s">
        <v>864</v>
      </c>
      <c r="C92" s="3" t="s">
        <v>865</v>
      </c>
      <c r="D92" s="3" t="s">
        <v>866</v>
      </c>
      <c r="E92" s="3" t="s">
        <v>867</v>
      </c>
      <c r="F92" s="3" t="s">
        <v>124</v>
      </c>
      <c r="G92" s="3" t="s">
        <v>50</v>
      </c>
      <c r="H92" s="4">
        <v>23831</v>
      </c>
      <c r="I92" s="3" t="s">
        <v>52</v>
      </c>
      <c r="J92" s="3" t="s">
        <v>52</v>
      </c>
      <c r="K92" s="5" t="s">
        <v>868</v>
      </c>
      <c r="L92" s="5" t="s">
        <v>869</v>
      </c>
      <c r="M92" s="3" t="s">
        <v>52</v>
      </c>
      <c r="N92" s="3" t="s">
        <v>52</v>
      </c>
      <c r="O92" s="3" t="s">
        <v>870</v>
      </c>
      <c r="P92" s="3" t="s">
        <v>52</v>
      </c>
      <c r="Q92" s="3" t="s">
        <v>52</v>
      </c>
      <c r="R92" s="3" t="s">
        <v>52</v>
      </c>
      <c r="S92" s="3" t="s">
        <v>52</v>
      </c>
      <c r="T92" s="3" t="s">
        <v>56</v>
      </c>
      <c r="U92" s="3" t="s">
        <v>57</v>
      </c>
      <c r="V92" s="3" t="s">
        <v>871</v>
      </c>
      <c r="W92" s="3" t="s">
        <v>52</v>
      </c>
      <c r="X92" s="3" t="s">
        <v>872</v>
      </c>
      <c r="Y92" s="3" t="s">
        <v>873</v>
      </c>
      <c r="Z92" s="3" t="s">
        <v>52</v>
      </c>
      <c r="AA92" s="3" t="s">
        <v>52</v>
      </c>
      <c r="AB92" s="3" t="s">
        <v>75</v>
      </c>
      <c r="AD92" s="7" t="b">
        <v>0</v>
      </c>
      <c r="AE92" s="7" t="b">
        <v>0</v>
      </c>
      <c r="AF92" s="7" t="b">
        <v>0</v>
      </c>
      <c r="AG92" s="3" t="s">
        <v>874</v>
      </c>
      <c r="AH92" s="3" t="s">
        <v>52</v>
      </c>
      <c r="AI92" s="3" t="s">
        <v>490</v>
      </c>
      <c r="AJ92" s="3" t="s">
        <v>52</v>
      </c>
      <c r="AK92" s="3" t="s">
        <v>52</v>
      </c>
      <c r="AL92" s="7" t="b">
        <v>0</v>
      </c>
      <c r="AM92" s="3" t="s">
        <v>186</v>
      </c>
      <c r="AO92" s="2">
        <v>0</v>
      </c>
      <c r="AQ92" s="3" t="s">
        <v>52</v>
      </c>
      <c r="AR92" s="3" t="s">
        <v>52</v>
      </c>
      <c r="AS92" s="3" t="s">
        <v>490</v>
      </c>
      <c r="AT92" s="3" t="s">
        <v>52</v>
      </c>
      <c r="AU92" s="9"/>
      <c r="AV92" s="9"/>
      <c r="AW92" s="9">
        <v>1</v>
      </c>
      <c r="AX92" t="str">
        <f t="shared" si="1"/>
        <v>('MINES', 'BRENDA', 'MINISTRY-ADMINISTRATIVE ASSISTANT', '13208 BRADLEY BRIDGE ROAD', 'CHESTER', 'VA', '23831', '', '', '12/3/1943', '12/11/2017', '', '', 'First Baptist Church', '', '', '', '', 'Black', 'Female', '227-62-4533', '', 'Harrison Street, Petersburg', 'Jeremiah Tillman', '', '', 'MINISTRY', '', 'FALSE', 'FALSE', 'FALSE', 'INACTIVE', '', 'Baptist', '', '', 'FALSE', 'December', '', '0', '', '', '', 'Baptist', '', '', '', '1'),</v>
      </c>
    </row>
    <row r="93" spans="1:50" ht="25.5" x14ac:dyDescent="0.25">
      <c r="A93" s="2">
        <v>1346</v>
      </c>
      <c r="B93" s="3" t="s">
        <v>876</v>
      </c>
      <c r="C93" s="3" t="s">
        <v>877</v>
      </c>
      <c r="D93" s="3" t="s">
        <v>148</v>
      </c>
      <c r="E93" s="3" t="s">
        <v>878</v>
      </c>
      <c r="F93" s="3" t="s">
        <v>362</v>
      </c>
      <c r="G93" s="3" t="s">
        <v>50</v>
      </c>
      <c r="H93" s="4">
        <v>23842</v>
      </c>
      <c r="I93" s="3" t="s">
        <v>879</v>
      </c>
      <c r="J93" s="3" t="s">
        <v>880</v>
      </c>
      <c r="K93" s="5" t="s">
        <v>52</v>
      </c>
      <c r="L93" s="5" t="s">
        <v>52</v>
      </c>
      <c r="M93" s="3" t="s">
        <v>875</v>
      </c>
      <c r="N93" s="3" t="s">
        <v>52</v>
      </c>
      <c r="O93" s="3" t="s">
        <v>52</v>
      </c>
      <c r="P93" s="3" t="s">
        <v>52</v>
      </c>
      <c r="Q93" s="3" t="s">
        <v>52</v>
      </c>
      <c r="R93" s="3" t="s">
        <v>52</v>
      </c>
      <c r="S93" s="3" t="s">
        <v>52</v>
      </c>
      <c r="T93" s="3" t="s">
        <v>52</v>
      </c>
      <c r="U93" s="3" t="s">
        <v>52</v>
      </c>
      <c r="V93" s="3" t="s">
        <v>52</v>
      </c>
      <c r="W93" s="3" t="s">
        <v>52</v>
      </c>
      <c r="X93" s="3" t="s">
        <v>52</v>
      </c>
      <c r="Y93" s="3" t="s">
        <v>52</v>
      </c>
      <c r="Z93" s="3" t="s">
        <v>52</v>
      </c>
      <c r="AA93" s="3" t="s">
        <v>52</v>
      </c>
      <c r="AB93" s="3" t="s">
        <v>75</v>
      </c>
      <c r="AD93" s="7" t="b">
        <v>0</v>
      </c>
      <c r="AE93" s="7" t="b">
        <v>0</v>
      </c>
      <c r="AF93" s="7" t="b">
        <v>0</v>
      </c>
      <c r="AG93" s="3" t="s">
        <v>60</v>
      </c>
      <c r="AH93" s="3" t="s">
        <v>52</v>
      </c>
      <c r="AI93" s="3" t="s">
        <v>52</v>
      </c>
      <c r="AJ93" s="3" t="s">
        <v>52</v>
      </c>
      <c r="AK93" s="3" t="s">
        <v>52</v>
      </c>
      <c r="AL93" s="7" t="b">
        <v>0</v>
      </c>
      <c r="AM93" s="3" t="s">
        <v>52</v>
      </c>
      <c r="AO93" s="2">
        <v>0</v>
      </c>
      <c r="AQ93" s="3" t="s">
        <v>52</v>
      </c>
      <c r="AR93" s="3" t="s">
        <v>52</v>
      </c>
      <c r="AS93" s="3" t="s">
        <v>52</v>
      </c>
      <c r="AT93" s="3" t="s">
        <v>52</v>
      </c>
      <c r="AU93" s="9"/>
      <c r="AV93" s="9"/>
      <c r="AW93" s="9">
        <v>1</v>
      </c>
      <c r="AX93" t="str">
        <f t="shared" si="1"/>
        <v>('MODIRI', 'ROB', 'MINISTRY-SUNDAY SERVICE', '4507 WILDWOOD DRIVE', 'DISPUTANTA', 'VA', '23842', '(757) 894-3585', '(804) 720-1752', '', '', '1ST SUN 2:00-3:45PM HU1B', '', '', '', '', '', '', '', '', '', '', '', '', '', '', 'MINISTRY', '', 'FALSE', 'FALSE', 'FALSE', 'COVID INACTIVE', '', '', '', '', 'FALSE', '', '', '0', '', '', '', '', '', '', '', '1'),</v>
      </c>
    </row>
    <row r="94" spans="1:50" ht="25.5" x14ac:dyDescent="0.25">
      <c r="A94" s="2">
        <v>1347</v>
      </c>
      <c r="B94" s="3" t="s">
        <v>876</v>
      </c>
      <c r="C94" s="3" t="s">
        <v>881</v>
      </c>
      <c r="D94" s="3" t="s">
        <v>148</v>
      </c>
      <c r="E94" s="3" t="s">
        <v>878</v>
      </c>
      <c r="F94" s="3" t="s">
        <v>362</v>
      </c>
      <c r="G94" s="3" t="s">
        <v>882</v>
      </c>
      <c r="H94" s="4">
        <v>23842</v>
      </c>
      <c r="I94" s="3" t="s">
        <v>52</v>
      </c>
      <c r="J94" s="3" t="s">
        <v>879</v>
      </c>
      <c r="K94" s="5" t="s">
        <v>883</v>
      </c>
      <c r="L94" s="5" t="s">
        <v>884</v>
      </c>
      <c r="M94" s="3" t="s">
        <v>875</v>
      </c>
      <c r="N94" s="3" t="s">
        <v>52</v>
      </c>
      <c r="O94" s="3" t="s">
        <v>885</v>
      </c>
      <c r="P94" s="3" t="s">
        <v>52</v>
      </c>
      <c r="Q94" s="3" t="s">
        <v>52</v>
      </c>
      <c r="R94" s="3" t="s">
        <v>52</v>
      </c>
      <c r="S94" s="3" t="s">
        <v>886</v>
      </c>
      <c r="T94" s="3" t="s">
        <v>52</v>
      </c>
      <c r="U94" s="3" t="s">
        <v>57</v>
      </c>
      <c r="V94" s="3" t="s">
        <v>887</v>
      </c>
      <c r="W94" s="3" t="s">
        <v>52</v>
      </c>
      <c r="X94" s="3" t="s">
        <v>52</v>
      </c>
      <c r="Y94" s="3" t="s">
        <v>52</v>
      </c>
      <c r="Z94" s="3" t="s">
        <v>52</v>
      </c>
      <c r="AA94" s="3" t="s">
        <v>52</v>
      </c>
      <c r="AB94" s="3" t="s">
        <v>75</v>
      </c>
      <c r="AD94" s="7" t="b">
        <v>0</v>
      </c>
      <c r="AE94" s="7" t="b">
        <v>0</v>
      </c>
      <c r="AF94" s="7" t="b">
        <v>0</v>
      </c>
      <c r="AG94" s="3" t="s">
        <v>60</v>
      </c>
      <c r="AH94" s="3" t="s">
        <v>52</v>
      </c>
      <c r="AI94" s="3" t="s">
        <v>52</v>
      </c>
      <c r="AJ94" s="3" t="s">
        <v>160</v>
      </c>
      <c r="AK94" s="3" t="s">
        <v>888</v>
      </c>
      <c r="AL94" s="7" t="b">
        <v>1</v>
      </c>
      <c r="AM94" s="3" t="s">
        <v>379</v>
      </c>
      <c r="AO94" s="2">
        <v>0</v>
      </c>
      <c r="AQ94" s="3" t="s">
        <v>52</v>
      </c>
      <c r="AR94" s="3" t="s">
        <v>52</v>
      </c>
      <c r="AS94" s="3" t="s">
        <v>52</v>
      </c>
      <c r="AT94" s="3" t="s">
        <v>52</v>
      </c>
      <c r="AU94" s="9"/>
      <c r="AV94" s="9"/>
      <c r="AW94" s="9">
        <v>1</v>
      </c>
      <c r="AX94" t="str">
        <f t="shared" si="1"/>
        <v>('MODIRI', 'VIOLET', 'MINISTRY-SUNDAY SERVICE', '4507 WILDWOOD DRIVE', 'DISPUTANTA', 'V A', '23842', '', '(757) 894-3585', '9/10/1974', '2/18/2018', '1ST SUN 2:00-3:45PM HU1B', '', 'Destination Church', '', '', '', 'vmodiri@liberty.edu', '', 'Female', '225-17-1433', '', '', '', '', '', 'MINISTRY', '', 'FALSE', 'FALSE', 'FALSE', 'COVID INACTIVE', '', '', 'ADMINISTRATIVE', 'Thursday10:00am-2:00pm', 'TRUE', 'September', '', '0', '', '', '', '', '', '', '', '1'),</v>
      </c>
    </row>
    <row r="95" spans="1:50" ht="25.5" x14ac:dyDescent="0.25">
      <c r="A95" s="2">
        <v>1348</v>
      </c>
      <c r="B95" s="3" t="s">
        <v>890</v>
      </c>
      <c r="C95" s="3" t="s">
        <v>891</v>
      </c>
      <c r="D95" s="3" t="s">
        <v>892</v>
      </c>
      <c r="E95" s="3" t="s">
        <v>893</v>
      </c>
      <c r="F95" s="3" t="s">
        <v>282</v>
      </c>
      <c r="G95" s="3" t="s">
        <v>50</v>
      </c>
      <c r="H95" s="4">
        <v>23860</v>
      </c>
      <c r="I95" s="3" t="s">
        <v>894</v>
      </c>
      <c r="J95" s="3" t="s">
        <v>895</v>
      </c>
      <c r="K95" s="5" t="s">
        <v>896</v>
      </c>
      <c r="L95" s="5" t="s">
        <v>884</v>
      </c>
      <c r="M95" s="3" t="s">
        <v>889</v>
      </c>
      <c r="N95" s="3" t="s">
        <v>52</v>
      </c>
      <c r="O95" s="3" t="s">
        <v>897</v>
      </c>
      <c r="P95" s="3" t="s">
        <v>52</v>
      </c>
      <c r="Q95" s="3" t="s">
        <v>52</v>
      </c>
      <c r="R95" s="3" t="s">
        <v>52</v>
      </c>
      <c r="S95" s="3" t="s">
        <v>898</v>
      </c>
      <c r="T95" s="3" t="s">
        <v>56</v>
      </c>
      <c r="U95" s="3" t="s">
        <v>57</v>
      </c>
      <c r="V95" s="3" t="s">
        <v>899</v>
      </c>
      <c r="W95" s="3" t="s">
        <v>52</v>
      </c>
      <c r="X95" s="3" t="s">
        <v>900</v>
      </c>
      <c r="Y95" s="3" t="s">
        <v>901</v>
      </c>
      <c r="Z95" s="3" t="s">
        <v>52</v>
      </c>
      <c r="AA95" s="3" t="s">
        <v>52</v>
      </c>
      <c r="AB95" s="3" t="s">
        <v>75</v>
      </c>
      <c r="AD95" s="7" t="b">
        <v>0</v>
      </c>
      <c r="AE95" s="7" t="b">
        <v>0</v>
      </c>
      <c r="AF95" s="7" t="b">
        <v>0</v>
      </c>
      <c r="AG95" s="3" t="s">
        <v>60</v>
      </c>
      <c r="AH95" s="3" t="s">
        <v>52</v>
      </c>
      <c r="AI95" s="3" t="s">
        <v>490</v>
      </c>
      <c r="AJ95" s="3" t="s">
        <v>52</v>
      </c>
      <c r="AK95" s="3" t="s">
        <v>52</v>
      </c>
      <c r="AL95" s="7" t="b">
        <v>0</v>
      </c>
      <c r="AM95" s="3" t="s">
        <v>92</v>
      </c>
      <c r="AO95" s="2">
        <v>0</v>
      </c>
      <c r="AQ95" s="3" t="s">
        <v>52</v>
      </c>
      <c r="AR95" s="3" t="s">
        <v>52</v>
      </c>
      <c r="AS95" s="3" t="s">
        <v>490</v>
      </c>
      <c r="AT95" s="3" t="s">
        <v>52</v>
      </c>
      <c r="AU95" s="9"/>
      <c r="AV95" s="9"/>
      <c r="AW95" s="9">
        <v>1</v>
      </c>
      <c r="AX95" t="str">
        <f t="shared" si="1"/>
        <v>('MOODY', 'REBECCA', 'MINSTRY-SUNDAY SERVICE', '2315 DELROSE DRIVE', 'HOPEWELL', 'VA', '23860', '(804) 541-3967', '(804) 514-5900', '10/27/1954', '2/18/2018', '1st &amp; 3rd SUN 8:30-9:15AM HU1A', '', 'Friendship Baptist', '', '', '', 'moody2315d@aol.com', 'Black', 'Female', '230-86-0052', '', '1305 Arlington Road, Hopewell, VA 23860', 'Norwood Carson', '', '', 'MINISTRY', '', 'FALSE', 'FALSE', 'FALSE', 'COVID INACTIVE', '', 'Baptist', '', '', 'FALSE', 'October', '', '0', '', '', '', 'Baptist', '', '', '', '1'),</v>
      </c>
    </row>
    <row r="96" spans="1:50" ht="25.5" x14ac:dyDescent="0.25">
      <c r="A96" s="2">
        <v>1244</v>
      </c>
      <c r="B96" s="3" t="s">
        <v>902</v>
      </c>
      <c r="C96" s="3" t="s">
        <v>903</v>
      </c>
      <c r="D96" s="3" t="s">
        <v>904</v>
      </c>
      <c r="E96" s="3" t="s">
        <v>905</v>
      </c>
      <c r="F96" s="3" t="s">
        <v>49</v>
      </c>
      <c r="G96" s="3" t="s">
        <v>50</v>
      </c>
      <c r="H96" s="4">
        <v>23234</v>
      </c>
      <c r="I96" s="3" t="s">
        <v>906</v>
      </c>
      <c r="J96" s="3" t="s">
        <v>52</v>
      </c>
      <c r="K96" s="5" t="s">
        <v>907</v>
      </c>
      <c r="L96" s="5" t="s">
        <v>908</v>
      </c>
      <c r="M96" s="3" t="s">
        <v>78</v>
      </c>
      <c r="N96" s="3" t="s">
        <v>52</v>
      </c>
      <c r="O96" s="3" t="s">
        <v>52</v>
      </c>
      <c r="P96" s="3" t="s">
        <v>52</v>
      </c>
      <c r="Q96" s="3" t="s">
        <v>73</v>
      </c>
      <c r="R96" s="3" t="s">
        <v>52</v>
      </c>
      <c r="S96" s="3" t="s">
        <v>52</v>
      </c>
      <c r="T96" s="3" t="s">
        <v>56</v>
      </c>
      <c r="U96" s="3" t="s">
        <v>57</v>
      </c>
      <c r="V96" s="3" t="s">
        <v>909</v>
      </c>
      <c r="W96" s="3" t="s">
        <v>52</v>
      </c>
      <c r="X96" s="3" t="s">
        <v>52</v>
      </c>
      <c r="Y96" s="3" t="s">
        <v>52</v>
      </c>
      <c r="Z96" s="3" t="s">
        <v>52</v>
      </c>
      <c r="AA96" s="3" t="s">
        <v>52</v>
      </c>
      <c r="AB96" s="3" t="s">
        <v>59</v>
      </c>
      <c r="AD96" s="7" t="b">
        <v>1</v>
      </c>
      <c r="AE96" s="7" t="b">
        <v>0</v>
      </c>
      <c r="AF96" s="7" t="b">
        <v>0</v>
      </c>
      <c r="AG96" s="3" t="s">
        <v>60</v>
      </c>
      <c r="AH96" s="3" t="s">
        <v>52</v>
      </c>
      <c r="AI96" s="3" t="s">
        <v>52</v>
      </c>
      <c r="AJ96" s="3" t="s">
        <v>52</v>
      </c>
      <c r="AK96" s="3" t="s">
        <v>52</v>
      </c>
      <c r="AL96" s="7" t="b">
        <v>0</v>
      </c>
      <c r="AM96" s="3" t="s">
        <v>62</v>
      </c>
      <c r="AO96" s="2">
        <v>0</v>
      </c>
      <c r="AQ96" s="3" t="s">
        <v>76</v>
      </c>
      <c r="AR96" s="3" t="s">
        <v>77</v>
      </c>
      <c r="AS96" s="3" t="s">
        <v>52</v>
      </c>
      <c r="AT96" s="3" t="s">
        <v>52</v>
      </c>
      <c r="AU96" s="9"/>
      <c r="AV96" s="9"/>
      <c r="AW96" s="9">
        <v>1</v>
      </c>
      <c r="AX96" t="str">
        <f t="shared" si="1"/>
        <v>('MORGAN', 'BEVERLY', 'HIV/ HEP C TESTING COUNSELOR', '2246 CONCORD AVENUE', 'RICHMOND', 'VA', '23234', '(804) 386-6354', '', '8/26/1981', '10/25/2017', 'Varies', '', '', '', 'Letter of Recommendation', '', '', 'Black', 'Female', '228-35-1496', '', '', '', '', '', 'SECULAR', '', 'TRUE', 'FALSE', 'FALSE', 'COVID INACTIVE', '', '', '', '', 'FALSE', 'August', '', '0', '', 'Main Jail', 'HU6', '', '', '', '', '1'),</v>
      </c>
    </row>
    <row r="97" spans="1:50" ht="25.5" x14ac:dyDescent="0.25">
      <c r="A97" s="2">
        <v>1255</v>
      </c>
      <c r="B97" s="3" t="s">
        <v>910</v>
      </c>
      <c r="C97" s="3" t="s">
        <v>911</v>
      </c>
      <c r="D97" s="3" t="s">
        <v>904</v>
      </c>
      <c r="E97" s="3" t="s">
        <v>912</v>
      </c>
      <c r="F97" s="3" t="s">
        <v>49</v>
      </c>
      <c r="G97" s="3" t="s">
        <v>50</v>
      </c>
      <c r="H97" s="4">
        <v>23223</v>
      </c>
      <c r="I97" s="3" t="s">
        <v>913</v>
      </c>
      <c r="J97" s="3" t="s">
        <v>52</v>
      </c>
      <c r="K97" s="5" t="s">
        <v>914</v>
      </c>
      <c r="L97" s="5" t="s">
        <v>915</v>
      </c>
      <c r="M97" s="3" t="s">
        <v>78</v>
      </c>
      <c r="N97" s="3" t="s">
        <v>52</v>
      </c>
      <c r="O97" s="3" t="s">
        <v>52</v>
      </c>
      <c r="P97" s="3" t="s">
        <v>52</v>
      </c>
      <c r="Q97" s="3" t="s">
        <v>55</v>
      </c>
      <c r="R97" s="3" t="s">
        <v>52</v>
      </c>
      <c r="S97" s="3" t="s">
        <v>52</v>
      </c>
      <c r="T97" s="3" t="s">
        <v>56</v>
      </c>
      <c r="U97" s="3" t="s">
        <v>57</v>
      </c>
      <c r="V97" s="3" t="s">
        <v>916</v>
      </c>
      <c r="W97" s="3" t="s">
        <v>52</v>
      </c>
      <c r="X97" s="3" t="s">
        <v>52</v>
      </c>
      <c r="Y97" s="3" t="s">
        <v>52</v>
      </c>
      <c r="Z97" s="3" t="s">
        <v>52</v>
      </c>
      <c r="AA97" s="3" t="s">
        <v>52</v>
      </c>
      <c r="AB97" s="3" t="s">
        <v>59</v>
      </c>
      <c r="AD97" s="7" t="b">
        <v>1</v>
      </c>
      <c r="AE97" s="7" t="b">
        <v>0</v>
      </c>
      <c r="AF97" s="7" t="b">
        <v>0</v>
      </c>
      <c r="AG97" s="3" t="s">
        <v>60</v>
      </c>
      <c r="AH97" s="3" t="s">
        <v>52</v>
      </c>
      <c r="AI97" s="3" t="s">
        <v>52</v>
      </c>
      <c r="AJ97" s="3" t="s">
        <v>52</v>
      </c>
      <c r="AK97" s="3" t="s">
        <v>52</v>
      </c>
      <c r="AL97" s="7" t="b">
        <v>0</v>
      </c>
      <c r="AM97" s="3" t="s">
        <v>176</v>
      </c>
      <c r="AO97" s="2">
        <v>0</v>
      </c>
      <c r="AQ97" s="3" t="s">
        <v>76</v>
      </c>
      <c r="AR97" s="3" t="s">
        <v>77</v>
      </c>
      <c r="AS97" s="3" t="s">
        <v>52</v>
      </c>
      <c r="AT97" s="3" t="s">
        <v>52</v>
      </c>
      <c r="AU97" s="9"/>
      <c r="AV97" s="9"/>
      <c r="AW97" s="9">
        <v>1</v>
      </c>
      <c r="AX97" t="str">
        <f t="shared" si="1"/>
        <v>('MORRIS', 'REGINA', 'HIV/ HEP C TESTING COUNSELOR', '5309 DALGLISH ROAD', 'RICHMOND', 'VA', '23223', '(804) 909-0297', '', '11/8/1971', '2/15/2018', 'Varies', '', '', '', 'Certificate', '', '', 'Black', 'Female', '228-41-3417', '', '', '', '', '', 'SECULAR', '', 'TRUE', 'FALSE', 'FALSE', 'COVID INACTIVE', '', '', '', '', 'FALSE', 'November', '', '0', '', 'Main Jail', 'HU6', '', '', '', '', '1'),</v>
      </c>
    </row>
    <row r="98" spans="1:50" ht="25.5" x14ac:dyDescent="0.25">
      <c r="A98" s="2">
        <v>1259</v>
      </c>
      <c r="B98" s="3" t="s">
        <v>918</v>
      </c>
      <c r="C98" s="3" t="s">
        <v>919</v>
      </c>
      <c r="D98" s="3" t="s">
        <v>920</v>
      </c>
      <c r="E98" s="3" t="s">
        <v>921</v>
      </c>
      <c r="F98" s="3" t="s">
        <v>558</v>
      </c>
      <c r="G98" s="3" t="s">
        <v>50</v>
      </c>
      <c r="H98" s="4">
        <v>23223</v>
      </c>
      <c r="I98" s="3" t="s">
        <v>922</v>
      </c>
      <c r="J98" s="3" t="s">
        <v>52</v>
      </c>
      <c r="K98" s="5" t="s">
        <v>923</v>
      </c>
      <c r="L98" s="5" t="s">
        <v>924</v>
      </c>
      <c r="M98" s="3" t="s">
        <v>917</v>
      </c>
      <c r="N98" s="3" t="s">
        <v>52</v>
      </c>
      <c r="O98" s="3" t="s">
        <v>52</v>
      </c>
      <c r="P98" s="3" t="s">
        <v>52</v>
      </c>
      <c r="Q98" s="3" t="s">
        <v>87</v>
      </c>
      <c r="R98" s="3" t="s">
        <v>52</v>
      </c>
      <c r="S98" s="3" t="s">
        <v>52</v>
      </c>
      <c r="T98" s="3" t="s">
        <v>56</v>
      </c>
      <c r="U98" s="3" t="s">
        <v>57</v>
      </c>
      <c r="V98" s="3" t="s">
        <v>925</v>
      </c>
      <c r="W98" s="3" t="s">
        <v>52</v>
      </c>
      <c r="X98" s="3" t="s">
        <v>52</v>
      </c>
      <c r="Y98" s="3" t="s">
        <v>52</v>
      </c>
      <c r="Z98" s="3" t="s">
        <v>52</v>
      </c>
      <c r="AA98" s="3" t="s">
        <v>52</v>
      </c>
      <c r="AB98" s="3" t="s">
        <v>59</v>
      </c>
      <c r="AD98" s="7" t="b">
        <v>0</v>
      </c>
      <c r="AE98" s="7" t="b">
        <v>0</v>
      </c>
      <c r="AF98" s="7" t="b">
        <v>0</v>
      </c>
      <c r="AG98" s="3" t="s">
        <v>60</v>
      </c>
      <c r="AH98" s="3" t="s">
        <v>52</v>
      </c>
      <c r="AI98" s="3" t="s">
        <v>52</v>
      </c>
      <c r="AJ98" s="3" t="s">
        <v>52</v>
      </c>
      <c r="AK98" s="3" t="s">
        <v>52</v>
      </c>
      <c r="AL98" s="7" t="b">
        <v>0</v>
      </c>
      <c r="AM98" s="3" t="s">
        <v>92</v>
      </c>
      <c r="AO98" s="2">
        <v>0</v>
      </c>
      <c r="AQ98" s="3" t="s">
        <v>52</v>
      </c>
      <c r="AR98" s="3" t="s">
        <v>52</v>
      </c>
      <c r="AS98" s="3" t="s">
        <v>52</v>
      </c>
      <c r="AT98" s="3" t="s">
        <v>52</v>
      </c>
      <c r="AU98" s="9"/>
      <c r="AV98" s="9"/>
      <c r="AW98" s="9">
        <v>1</v>
      </c>
      <c r="AX98" t="str">
        <f t="shared" si="1"/>
        <v>('MUNFORD', 'MARCIA', 'CAREER READINESS', '5105 TIFFANYWOODS LANE', 'HENRICO', 'VA', '23223', '(804) 212-7864', '', '10/5/1953', '4/18/2018', 'Tues &amp; Fri 2:00pm-3:00pm', '', '', '', 'Degree', '', '', 'Black', 'Female', '225-82-0090', '', '', '', '', '', 'SECULAR', '', 'FALSE', 'FALSE', 'FALSE', 'COVID INACTIVE', '', '', '', '', 'FALSE', 'October', '', '0', '', '', '', '', '', '', '', '1'),</v>
      </c>
    </row>
    <row r="99" spans="1:50" ht="25.5" x14ac:dyDescent="0.25">
      <c r="A99" s="2">
        <v>1197</v>
      </c>
      <c r="B99" s="3" t="s">
        <v>927</v>
      </c>
      <c r="C99" s="3" t="s">
        <v>928</v>
      </c>
      <c r="D99" s="3" t="s">
        <v>122</v>
      </c>
      <c r="E99" s="3" t="s">
        <v>929</v>
      </c>
      <c r="F99" s="3" t="s">
        <v>150</v>
      </c>
      <c r="G99" s="3" t="s">
        <v>50</v>
      </c>
      <c r="H99" s="4">
        <v>23875</v>
      </c>
      <c r="I99" s="3" t="s">
        <v>930</v>
      </c>
      <c r="J99" s="3" t="s">
        <v>52</v>
      </c>
      <c r="K99" s="5" t="s">
        <v>931</v>
      </c>
      <c r="L99" s="5" t="s">
        <v>932</v>
      </c>
      <c r="M99" s="3" t="s">
        <v>926</v>
      </c>
      <c r="N99" s="3" t="s">
        <v>52</v>
      </c>
      <c r="O99" s="3" t="s">
        <v>52</v>
      </c>
      <c r="P99" s="3" t="s">
        <v>52</v>
      </c>
      <c r="Q99" s="3" t="s">
        <v>102</v>
      </c>
      <c r="R99" s="3" t="s">
        <v>52</v>
      </c>
      <c r="S99" s="3" t="s">
        <v>52</v>
      </c>
      <c r="T99" s="3" t="s">
        <v>103</v>
      </c>
      <c r="U99" s="3" t="s">
        <v>57</v>
      </c>
      <c r="V99" s="3" t="s">
        <v>933</v>
      </c>
      <c r="W99" s="3" t="s">
        <v>52</v>
      </c>
      <c r="X99" s="3" t="s">
        <v>52</v>
      </c>
      <c r="Y99" s="3" t="s">
        <v>52</v>
      </c>
      <c r="Z99" s="3" t="s">
        <v>52</v>
      </c>
      <c r="AA99" s="3" t="s">
        <v>52</v>
      </c>
      <c r="AB99" s="3" t="s">
        <v>59</v>
      </c>
      <c r="AD99" s="7" t="b">
        <v>0</v>
      </c>
      <c r="AE99" s="7" t="b">
        <v>0</v>
      </c>
      <c r="AF99" s="7" t="b">
        <v>0</v>
      </c>
      <c r="AG99" s="3" t="s">
        <v>60</v>
      </c>
      <c r="AH99" s="3" t="s">
        <v>52</v>
      </c>
      <c r="AI99" s="3" t="s">
        <v>52</v>
      </c>
      <c r="AJ99" s="3" t="s">
        <v>52</v>
      </c>
      <c r="AK99" s="3" t="s">
        <v>52</v>
      </c>
      <c r="AL99" s="7" t="b">
        <v>0</v>
      </c>
      <c r="AM99" s="3" t="s">
        <v>237</v>
      </c>
      <c r="AO99" s="2">
        <v>0</v>
      </c>
      <c r="AQ99" s="3" t="s">
        <v>52</v>
      </c>
      <c r="AR99" s="3" t="s">
        <v>52</v>
      </c>
      <c r="AS99" s="3" t="s">
        <v>52</v>
      </c>
      <c r="AT99" s="3" t="s">
        <v>52</v>
      </c>
      <c r="AU99" s="9"/>
      <c r="AV99" s="9"/>
      <c r="AW99" s="9">
        <v>1</v>
      </c>
      <c r="AX99" t="str">
        <f t="shared" si="1"/>
        <v>('NETZLEY', 'MARY', 'AA MEETINGS', '3812 PUDDLEDOCK ROAD # 26', 'PRINCE GEORGE', 'VA', '23875', '(804) 920-0401', '', '1/14/1939', '7/13/2016', '2nd &amp; 3rd Sat 8:00am-9:00am', '', '', '', 'Life Experiences', '', '', 'White', 'Female', '229-48-1207', '', '', '', '', '', 'SECULAR', '', 'FALSE', 'FALSE', 'FALSE', 'COVID INACTIVE', '', '', '', '', 'FALSE', 'January', '', '0', '', '', '', '', '', '', '', '1'),</v>
      </c>
    </row>
    <row r="100" spans="1:50" ht="38.25" x14ac:dyDescent="0.25">
      <c r="A100" s="2">
        <v>1287</v>
      </c>
      <c r="B100" s="3" t="s">
        <v>935</v>
      </c>
      <c r="C100" s="3" t="s">
        <v>936</v>
      </c>
      <c r="D100" s="3" t="s">
        <v>937</v>
      </c>
      <c r="E100" s="3" t="s">
        <v>938</v>
      </c>
      <c r="F100" s="3" t="s">
        <v>150</v>
      </c>
      <c r="G100" s="3" t="s">
        <v>50</v>
      </c>
      <c r="H100" s="4">
        <v>23875</v>
      </c>
      <c r="I100" s="3" t="s">
        <v>939</v>
      </c>
      <c r="J100" s="3" t="s">
        <v>52</v>
      </c>
      <c r="K100" s="5" t="s">
        <v>940</v>
      </c>
      <c r="L100" s="5" t="s">
        <v>941</v>
      </c>
      <c r="M100" s="3" t="s">
        <v>934</v>
      </c>
      <c r="N100" s="3" t="s">
        <v>52</v>
      </c>
      <c r="O100" s="3" t="s">
        <v>942</v>
      </c>
      <c r="P100" s="3" t="s">
        <v>52</v>
      </c>
      <c r="Q100" s="3" t="s">
        <v>55</v>
      </c>
      <c r="R100" s="3" t="s">
        <v>52</v>
      </c>
      <c r="S100" s="3" t="s">
        <v>943</v>
      </c>
      <c r="T100" s="3" t="s">
        <v>275</v>
      </c>
      <c r="U100" s="3" t="s">
        <v>89</v>
      </c>
      <c r="V100" s="3" t="s">
        <v>944</v>
      </c>
      <c r="W100" s="3" t="s">
        <v>52</v>
      </c>
      <c r="X100" s="3" t="s">
        <v>945</v>
      </c>
      <c r="Y100" s="3" t="s">
        <v>946</v>
      </c>
      <c r="Z100" s="3" t="s">
        <v>52</v>
      </c>
      <c r="AA100" s="3" t="s">
        <v>52</v>
      </c>
      <c r="AB100" s="3" t="s">
        <v>75</v>
      </c>
      <c r="AD100" s="7" t="b">
        <v>0</v>
      </c>
      <c r="AE100" s="7" t="b">
        <v>0</v>
      </c>
      <c r="AF100" s="7" t="b">
        <v>0</v>
      </c>
      <c r="AG100" s="3" t="s">
        <v>60</v>
      </c>
      <c r="AH100" s="3" t="s">
        <v>52</v>
      </c>
      <c r="AI100" s="3" t="s">
        <v>52</v>
      </c>
      <c r="AJ100" s="3" t="s">
        <v>52</v>
      </c>
      <c r="AK100" s="3" t="s">
        <v>52</v>
      </c>
      <c r="AL100" s="7" t="b">
        <v>0</v>
      </c>
      <c r="AM100" s="3" t="s">
        <v>379</v>
      </c>
      <c r="AO100" s="2">
        <v>0</v>
      </c>
      <c r="AP100" s="6">
        <v>43691</v>
      </c>
      <c r="AQ100" s="3" t="s">
        <v>52</v>
      </c>
      <c r="AR100" s="3" t="s">
        <v>52</v>
      </c>
      <c r="AS100" s="3" t="s">
        <v>52</v>
      </c>
      <c r="AT100" s="3" t="s">
        <v>52</v>
      </c>
      <c r="AU100" s="9"/>
      <c r="AV100" s="9"/>
      <c r="AW100" s="9">
        <v>1</v>
      </c>
      <c r="AX100" t="str">
        <f t="shared" si="1"/>
        <v>('PABON-TORRES', 'RICARDO', 'MINISTSRY-BIBLE STUDY/COUNSELING', '5425 WILLOW OAK DRIVE', 'PRINCE GEORGE', 'VA', '23875', '(804) 255-3201', '', '9/22/1967', '8/14/2019', 'Wed 7:30pm-8:30pm/ 1st &amp; 3rd Fri 9:00am-11:00am', '', 'Life Church', '', 'Certificate', '', 'ricardo.pabontorres@gmail.com', 'Hispanic', 'Male', '581-45-6114', '', 'Colonial Heights, VA 23834', 'Scott Tischler', '', '', 'MINISTRY', '', 'FALSE', 'FALSE', 'FALSE', 'COVID INACTIVE', '', '', '', '', 'FALSE', 'September', '', '0', '43691', '', '', '', '', '', '', '1'),</v>
      </c>
    </row>
    <row r="101" spans="1:50" ht="25.5" x14ac:dyDescent="0.25">
      <c r="A101" s="2">
        <v>1262</v>
      </c>
      <c r="B101" s="3" t="s">
        <v>947</v>
      </c>
      <c r="C101" s="3" t="s">
        <v>948</v>
      </c>
      <c r="D101" s="3" t="s">
        <v>122</v>
      </c>
      <c r="E101" s="3" t="s">
        <v>949</v>
      </c>
      <c r="F101" s="3" t="s">
        <v>314</v>
      </c>
      <c r="G101" s="3" t="s">
        <v>50</v>
      </c>
      <c r="H101" s="4">
        <v>23834</v>
      </c>
      <c r="I101" s="3" t="s">
        <v>950</v>
      </c>
      <c r="J101" s="3" t="s">
        <v>52</v>
      </c>
      <c r="K101" s="5" t="s">
        <v>951</v>
      </c>
      <c r="L101" s="5" t="s">
        <v>952</v>
      </c>
      <c r="M101" s="3" t="s">
        <v>187</v>
      </c>
      <c r="N101" s="3" t="s">
        <v>52</v>
      </c>
      <c r="O101" s="3" t="s">
        <v>52</v>
      </c>
      <c r="P101" s="3" t="s">
        <v>52</v>
      </c>
      <c r="Q101" s="3" t="s">
        <v>102</v>
      </c>
      <c r="R101" s="3" t="s">
        <v>52</v>
      </c>
      <c r="S101" s="3" t="s">
        <v>52</v>
      </c>
      <c r="T101" s="3" t="s">
        <v>56</v>
      </c>
      <c r="U101" s="3" t="s">
        <v>89</v>
      </c>
      <c r="V101" s="3" t="s">
        <v>953</v>
      </c>
      <c r="W101" s="3" t="s">
        <v>52</v>
      </c>
      <c r="X101" s="3" t="s">
        <v>52</v>
      </c>
      <c r="Y101" s="3" t="s">
        <v>52</v>
      </c>
      <c r="Z101" s="3" t="s">
        <v>52</v>
      </c>
      <c r="AA101" s="3" t="s">
        <v>52</v>
      </c>
      <c r="AB101" s="3" t="s">
        <v>59</v>
      </c>
      <c r="AD101" s="7" t="b">
        <v>1</v>
      </c>
      <c r="AE101" s="7" t="b">
        <v>0</v>
      </c>
      <c r="AF101" s="7" t="b">
        <v>0</v>
      </c>
      <c r="AG101" s="3" t="s">
        <v>60</v>
      </c>
      <c r="AH101" s="3" t="s">
        <v>52</v>
      </c>
      <c r="AI101" s="3" t="s">
        <v>52</v>
      </c>
      <c r="AJ101" s="3" t="s">
        <v>52</v>
      </c>
      <c r="AK101" s="3" t="s">
        <v>52</v>
      </c>
      <c r="AL101" s="7" t="b">
        <v>0</v>
      </c>
      <c r="AM101" s="3" t="s">
        <v>186</v>
      </c>
      <c r="AO101" s="2">
        <v>0</v>
      </c>
      <c r="AQ101" s="3" t="s">
        <v>52</v>
      </c>
      <c r="AR101" s="3" t="s">
        <v>52</v>
      </c>
      <c r="AS101" s="3" t="s">
        <v>52</v>
      </c>
      <c r="AT101" s="3" t="s">
        <v>52</v>
      </c>
      <c r="AU101" s="9"/>
      <c r="AV101" s="9"/>
      <c r="AW101" s="9">
        <v>1</v>
      </c>
      <c r="AX101" t="str">
        <f t="shared" si="1"/>
        <v>('PAGE', 'CLARENCE', 'AA MEETINGS', '320 EASTMAN AVENUE', 'COLONIAL HEIGHTS', 'VA', '23834', '(804) 894-5709', '', '12/8/1959', '9/18/2018', 'Fri 7:30pm-8:30pm', '', '', '', 'Life Experiences', '', '', 'Black', 'Male', '227-92-3582', '', '', '', '', '', 'SECULAR', '', 'TRUE', 'FALSE', 'FALSE', 'COVID INACTIVE', '', '', '', '', 'FALSE', 'December', '', '0', '', '', '', '', '', '', '', '1'),</v>
      </c>
    </row>
    <row r="102" spans="1:50" ht="25.5" x14ac:dyDescent="0.25">
      <c r="A102" s="2">
        <v>1277</v>
      </c>
      <c r="B102" s="3" t="s">
        <v>955</v>
      </c>
      <c r="C102" s="3" t="s">
        <v>956</v>
      </c>
      <c r="D102" s="3" t="s">
        <v>796</v>
      </c>
      <c r="E102" s="3" t="s">
        <v>957</v>
      </c>
      <c r="F102" s="3" t="s">
        <v>314</v>
      </c>
      <c r="G102" s="3" t="s">
        <v>50</v>
      </c>
      <c r="H102" s="4">
        <v>23834</v>
      </c>
      <c r="I102" s="3" t="s">
        <v>958</v>
      </c>
      <c r="J102" s="3" t="s">
        <v>959</v>
      </c>
      <c r="K102" s="5" t="s">
        <v>960</v>
      </c>
      <c r="L102" s="5" t="s">
        <v>214</v>
      </c>
      <c r="M102" s="3" t="s">
        <v>954</v>
      </c>
      <c r="N102" s="3" t="s">
        <v>52</v>
      </c>
      <c r="O102" s="3" t="s">
        <v>52</v>
      </c>
      <c r="P102" s="3" t="s">
        <v>52</v>
      </c>
      <c r="Q102" s="3" t="s">
        <v>52</v>
      </c>
      <c r="R102" s="3" t="s">
        <v>52</v>
      </c>
      <c r="S102" s="3" t="s">
        <v>52</v>
      </c>
      <c r="T102" s="3" t="s">
        <v>103</v>
      </c>
      <c r="U102" s="3" t="s">
        <v>57</v>
      </c>
      <c r="V102" s="3" t="s">
        <v>961</v>
      </c>
      <c r="W102" s="3" t="s">
        <v>52</v>
      </c>
      <c r="X102" s="3" t="s">
        <v>52</v>
      </c>
      <c r="Y102" s="3" t="s">
        <v>52</v>
      </c>
      <c r="Z102" s="3" t="s">
        <v>52</v>
      </c>
      <c r="AA102" s="3" t="s">
        <v>52</v>
      </c>
      <c r="AB102" s="3" t="s">
        <v>59</v>
      </c>
      <c r="AD102" s="7" t="b">
        <v>0</v>
      </c>
      <c r="AE102" s="7" t="b">
        <v>0</v>
      </c>
      <c r="AF102" s="7" t="b">
        <v>0</v>
      </c>
      <c r="AG102" s="3" t="s">
        <v>60</v>
      </c>
      <c r="AH102" s="3" t="s">
        <v>52</v>
      </c>
      <c r="AI102" s="3" t="s">
        <v>52</v>
      </c>
      <c r="AJ102" s="3" t="s">
        <v>52</v>
      </c>
      <c r="AK102" s="3" t="s">
        <v>52</v>
      </c>
      <c r="AL102" s="7" t="b">
        <v>0</v>
      </c>
      <c r="AM102" s="3" t="s">
        <v>217</v>
      </c>
      <c r="AO102" s="2">
        <v>0</v>
      </c>
      <c r="AQ102" s="3" t="s">
        <v>52</v>
      </c>
      <c r="AR102" s="3" t="s">
        <v>52</v>
      </c>
      <c r="AS102" s="3" t="s">
        <v>52</v>
      </c>
      <c r="AT102" s="3" t="s">
        <v>52</v>
      </c>
      <c r="AU102" s="9"/>
      <c r="AV102" s="9"/>
      <c r="AW102" s="9">
        <v>1</v>
      </c>
      <c r="AX102" t="str">
        <f t="shared" si="1"/>
        <v>('PARRISH', 'APRIL', 'REENTRY REGENESIS HOUSING', '123 WRIGHT AVENUE APT A', 'COLONIAL HEIGHTS', 'VA', '23834', '(804) 451-4481', '(304) 657-6739', '3/2/1983', '5/7/2019', 'Tues or Thurs 9:00am-11:00am', '', '', '', '', '', '', 'White', 'Female', '232-25-2357', '', '', '', '', '', 'SECULAR', '', 'FALSE', 'FALSE', 'FALSE', 'COVID INACTIVE', '', '', '', '', 'FALSE', 'March', '', '0', '', '', '', '', '', '', '', '1'),</v>
      </c>
    </row>
    <row r="103" spans="1:50" ht="25.5" x14ac:dyDescent="0.25">
      <c r="A103" s="2">
        <v>1350</v>
      </c>
      <c r="B103" s="3" t="s">
        <v>963</v>
      </c>
      <c r="C103" s="3" t="s">
        <v>964</v>
      </c>
      <c r="D103" s="3" t="s">
        <v>66</v>
      </c>
      <c r="E103" s="3" t="s">
        <v>965</v>
      </c>
      <c r="F103" s="3" t="s">
        <v>282</v>
      </c>
      <c r="G103" s="3" t="s">
        <v>50</v>
      </c>
      <c r="H103" s="4">
        <v>23860</v>
      </c>
      <c r="I103" s="3" t="s">
        <v>966</v>
      </c>
      <c r="J103" s="3" t="s">
        <v>967</v>
      </c>
      <c r="K103" s="5" t="s">
        <v>52</v>
      </c>
      <c r="L103" s="5" t="s">
        <v>52</v>
      </c>
      <c r="M103" s="3" t="s">
        <v>962</v>
      </c>
      <c r="N103" s="3" t="s">
        <v>52</v>
      </c>
      <c r="O103" s="3" t="s">
        <v>52</v>
      </c>
      <c r="P103" s="3" t="s">
        <v>52</v>
      </c>
      <c r="Q103" s="3" t="s">
        <v>52</v>
      </c>
      <c r="R103" s="3" t="s">
        <v>52</v>
      </c>
      <c r="S103" s="3" t="s">
        <v>52</v>
      </c>
      <c r="T103" s="3" t="s">
        <v>56</v>
      </c>
      <c r="U103" s="3" t="s">
        <v>89</v>
      </c>
      <c r="V103" s="3" t="s">
        <v>52</v>
      </c>
      <c r="W103" s="3" t="s">
        <v>52</v>
      </c>
      <c r="X103" s="3" t="s">
        <v>52</v>
      </c>
      <c r="Y103" s="3" t="s">
        <v>52</v>
      </c>
      <c r="Z103" s="3" t="s">
        <v>52</v>
      </c>
      <c r="AA103" s="3" t="s">
        <v>52</v>
      </c>
      <c r="AB103" s="3" t="s">
        <v>75</v>
      </c>
      <c r="AD103" s="7" t="b">
        <v>0</v>
      </c>
      <c r="AE103" s="7" t="b">
        <v>0</v>
      </c>
      <c r="AF103" s="7" t="b">
        <v>0</v>
      </c>
      <c r="AG103" s="3" t="s">
        <v>60</v>
      </c>
      <c r="AH103" s="3" t="s">
        <v>52</v>
      </c>
      <c r="AI103" s="3" t="s">
        <v>52</v>
      </c>
      <c r="AJ103" s="3" t="s">
        <v>52</v>
      </c>
      <c r="AK103" s="3" t="s">
        <v>52</v>
      </c>
      <c r="AL103" s="7" t="b">
        <v>0</v>
      </c>
      <c r="AM103" s="3" t="s">
        <v>52</v>
      </c>
      <c r="AO103" s="2">
        <v>0</v>
      </c>
      <c r="AQ103" s="3" t="s">
        <v>52</v>
      </c>
      <c r="AR103" s="3" t="s">
        <v>52</v>
      </c>
      <c r="AS103" s="3" t="s">
        <v>52</v>
      </c>
      <c r="AT103" s="3" t="s">
        <v>52</v>
      </c>
      <c r="AU103" s="9"/>
      <c r="AV103" s="9"/>
      <c r="AW103" s="9">
        <v>1</v>
      </c>
      <c r="AX103" t="str">
        <f t="shared" si="1"/>
        <v>('PATTERSON', 'JAMES', 'MINISTRY-BIBLE STUDY', '2612 PERRY STREET', 'HOPEWELL', 'VA', '23860', '(804) 731-2877', '(804) 255-0399', '', '', 'TUE 7:30-9:00PM HU5', '', '', '', '', '', '', 'Black', 'Male', '', '', '', '', '', '', 'MINISTRY', '', 'FALSE', 'FALSE', 'FALSE', 'COVID INACTIVE', '', '', '', '', 'FALSE', '', '', '0', '', '', '', '', '', '', '', '1'),</v>
      </c>
    </row>
    <row r="104" spans="1:50" ht="25.5" x14ac:dyDescent="0.25">
      <c r="A104" s="2">
        <v>1351</v>
      </c>
      <c r="B104" s="3" t="s">
        <v>963</v>
      </c>
      <c r="C104" s="3" t="s">
        <v>969</v>
      </c>
      <c r="D104" s="3" t="s">
        <v>148</v>
      </c>
      <c r="E104" s="3" t="s">
        <v>970</v>
      </c>
      <c r="F104" s="3" t="s">
        <v>124</v>
      </c>
      <c r="G104" s="3" t="s">
        <v>50</v>
      </c>
      <c r="H104" s="4">
        <v>23831</v>
      </c>
      <c r="I104" s="3" t="s">
        <v>971</v>
      </c>
      <c r="J104" s="3" t="s">
        <v>972</v>
      </c>
      <c r="K104" s="5" t="s">
        <v>52</v>
      </c>
      <c r="L104" s="5" t="s">
        <v>52</v>
      </c>
      <c r="M104" s="3" t="s">
        <v>968</v>
      </c>
      <c r="N104" s="3" t="s">
        <v>52</v>
      </c>
      <c r="O104" s="3" t="s">
        <v>52</v>
      </c>
      <c r="P104" s="3" t="s">
        <v>52</v>
      </c>
      <c r="Q104" s="3" t="s">
        <v>52</v>
      </c>
      <c r="R104" s="3" t="s">
        <v>52</v>
      </c>
      <c r="S104" s="3" t="s">
        <v>52</v>
      </c>
      <c r="T104" s="3" t="s">
        <v>52</v>
      </c>
      <c r="U104" s="3" t="s">
        <v>52</v>
      </c>
      <c r="V104" s="3" t="s">
        <v>52</v>
      </c>
      <c r="W104" s="3" t="s">
        <v>52</v>
      </c>
      <c r="X104" s="3" t="s">
        <v>52</v>
      </c>
      <c r="Y104" s="3" t="s">
        <v>52</v>
      </c>
      <c r="Z104" s="3" t="s">
        <v>52</v>
      </c>
      <c r="AA104" s="3" t="s">
        <v>52</v>
      </c>
      <c r="AB104" s="3" t="s">
        <v>75</v>
      </c>
      <c r="AD104" s="7" t="b">
        <v>0</v>
      </c>
      <c r="AE104" s="7" t="b">
        <v>0</v>
      </c>
      <c r="AF104" s="7" t="b">
        <v>0</v>
      </c>
      <c r="AG104" s="3" t="s">
        <v>60</v>
      </c>
      <c r="AH104" s="3" t="s">
        <v>52</v>
      </c>
      <c r="AI104" s="3" t="s">
        <v>52</v>
      </c>
      <c r="AJ104" s="3" t="s">
        <v>52</v>
      </c>
      <c r="AK104" s="3" t="s">
        <v>52</v>
      </c>
      <c r="AL104" s="7" t="b">
        <v>0</v>
      </c>
      <c r="AM104" s="3" t="s">
        <v>52</v>
      </c>
      <c r="AO104" s="2">
        <v>0</v>
      </c>
      <c r="AQ104" s="3" t="s">
        <v>52</v>
      </c>
      <c r="AR104" s="3" t="s">
        <v>52</v>
      </c>
      <c r="AS104" s="3" t="s">
        <v>52</v>
      </c>
      <c r="AT104" s="3" t="s">
        <v>52</v>
      </c>
      <c r="AU104" s="9"/>
      <c r="AV104" s="9"/>
      <c r="AW104" s="9">
        <v>1</v>
      </c>
      <c r="AX104" t="str">
        <f t="shared" si="1"/>
        <v>('PATTERSON', 'RICO', 'MINISTRY-SUNDAY SERVICE', '3819 CRESTHILL ROAD', 'CHESTER', 'VA', '23831', '(804) 383-4868', '(804) 317-0965', '', '', '3RD SUN 9:30-10:45AM', '', '', '', '', '', '', '', '', '', '', '', '', '', '', 'MINISTRY', '', 'FALSE', 'FALSE', 'FALSE', 'COVID INACTIVE', '', '', '', '', 'FALSE', '', '', '0', '', '', '', '', '', '', '', '1'),</v>
      </c>
    </row>
    <row r="105" spans="1:50" ht="25.5" x14ac:dyDescent="0.25">
      <c r="A105" s="2">
        <v>1352</v>
      </c>
      <c r="B105" s="3" t="s">
        <v>974</v>
      </c>
      <c r="C105" s="3" t="s">
        <v>975</v>
      </c>
      <c r="D105" s="3" t="s">
        <v>148</v>
      </c>
      <c r="E105" s="3" t="s">
        <v>976</v>
      </c>
      <c r="F105" s="3" t="s">
        <v>282</v>
      </c>
      <c r="G105" s="3" t="s">
        <v>50</v>
      </c>
      <c r="H105" s="4">
        <v>23860</v>
      </c>
      <c r="I105" s="3" t="s">
        <v>977</v>
      </c>
      <c r="J105" s="3" t="s">
        <v>978</v>
      </c>
      <c r="K105" s="5" t="s">
        <v>52</v>
      </c>
      <c r="L105" s="5" t="s">
        <v>52</v>
      </c>
      <c r="M105" s="3" t="s">
        <v>973</v>
      </c>
      <c r="N105" s="3" t="s">
        <v>52</v>
      </c>
      <c r="O105" s="3" t="s">
        <v>52</v>
      </c>
      <c r="P105" s="3" t="s">
        <v>52</v>
      </c>
      <c r="Q105" s="3" t="s">
        <v>52</v>
      </c>
      <c r="R105" s="3" t="s">
        <v>52</v>
      </c>
      <c r="S105" s="3" t="s">
        <v>52</v>
      </c>
      <c r="T105" s="3" t="s">
        <v>52</v>
      </c>
      <c r="U105" s="3" t="s">
        <v>52</v>
      </c>
      <c r="V105" s="3" t="s">
        <v>52</v>
      </c>
      <c r="W105" s="3" t="s">
        <v>52</v>
      </c>
      <c r="X105" s="3" t="s">
        <v>52</v>
      </c>
      <c r="Y105" s="3" t="s">
        <v>52</v>
      </c>
      <c r="Z105" s="3" t="s">
        <v>52</v>
      </c>
      <c r="AA105" s="3" t="s">
        <v>52</v>
      </c>
      <c r="AB105" s="3" t="s">
        <v>75</v>
      </c>
      <c r="AD105" s="7" t="b">
        <v>0</v>
      </c>
      <c r="AE105" s="7" t="b">
        <v>0</v>
      </c>
      <c r="AF105" s="7" t="b">
        <v>0</v>
      </c>
      <c r="AG105" s="3" t="s">
        <v>60</v>
      </c>
      <c r="AH105" s="3" t="s">
        <v>52</v>
      </c>
      <c r="AI105" s="3" t="s">
        <v>52</v>
      </c>
      <c r="AJ105" s="3" t="s">
        <v>52</v>
      </c>
      <c r="AK105" s="3" t="s">
        <v>52</v>
      </c>
      <c r="AL105" s="7" t="b">
        <v>0</v>
      </c>
      <c r="AM105" s="3" t="s">
        <v>52</v>
      </c>
      <c r="AO105" s="2">
        <v>0</v>
      </c>
      <c r="AQ105" s="3" t="s">
        <v>52</v>
      </c>
      <c r="AR105" s="3" t="s">
        <v>52</v>
      </c>
      <c r="AS105" s="3" t="s">
        <v>52</v>
      </c>
      <c r="AT105" s="3" t="s">
        <v>52</v>
      </c>
      <c r="AU105" s="9"/>
      <c r="AV105" s="9"/>
      <c r="AW105" s="9">
        <v>1</v>
      </c>
      <c r="AX105" t="str">
        <f t="shared" si="1"/>
        <v>('PETERSON', 'LAWANA "RENE"', 'MINISTRY-SUNDAY SERVICE', '1510 DELAWARE AVENUE', 'HOPEWELL', 'VA', '23860', '(804) 737-3577', '(804) 892-9343', '', '', 'SUN 8:00-9:15AM HU2D, E', '', '', '', '', '', '', '', '', '', '', '', '', '', '', 'MINISTRY', '', 'FALSE', 'FALSE', 'FALSE', 'COVID INACTIVE', '', '', '', '', 'FALSE', '', '', '0', '', '', '', '', '', '', '', '1'),</v>
      </c>
    </row>
    <row r="106" spans="1:50" ht="25.5" x14ac:dyDescent="0.25">
      <c r="A106" s="2">
        <v>1258</v>
      </c>
      <c r="B106" s="3" t="s">
        <v>979</v>
      </c>
      <c r="C106" s="3" t="s">
        <v>980</v>
      </c>
      <c r="D106" s="3" t="s">
        <v>981</v>
      </c>
      <c r="E106" s="3" t="s">
        <v>982</v>
      </c>
      <c r="F106" s="3" t="s">
        <v>136</v>
      </c>
      <c r="G106" s="3" t="s">
        <v>50</v>
      </c>
      <c r="H106" s="4">
        <v>23237</v>
      </c>
      <c r="I106" s="3" t="s">
        <v>983</v>
      </c>
      <c r="J106" s="3" t="s">
        <v>52</v>
      </c>
      <c r="K106" s="5" t="s">
        <v>984</v>
      </c>
      <c r="L106" s="5" t="s">
        <v>985</v>
      </c>
      <c r="M106" s="3" t="s">
        <v>78</v>
      </c>
      <c r="N106" s="3" t="s">
        <v>52</v>
      </c>
      <c r="O106" s="3" t="s">
        <v>52</v>
      </c>
      <c r="P106" s="3" t="s">
        <v>52</v>
      </c>
      <c r="Q106" s="3" t="s">
        <v>55</v>
      </c>
      <c r="R106" s="3" t="s">
        <v>52</v>
      </c>
      <c r="S106" s="3" t="s">
        <v>52</v>
      </c>
      <c r="T106" s="3" t="s">
        <v>56</v>
      </c>
      <c r="U106" s="3" t="s">
        <v>89</v>
      </c>
      <c r="V106" s="3" t="s">
        <v>986</v>
      </c>
      <c r="W106" s="3" t="s">
        <v>52</v>
      </c>
      <c r="X106" s="3" t="s">
        <v>52</v>
      </c>
      <c r="Y106" s="3" t="s">
        <v>52</v>
      </c>
      <c r="Z106" s="3" t="s">
        <v>52</v>
      </c>
      <c r="AA106" s="3" t="s">
        <v>52</v>
      </c>
      <c r="AB106" s="3" t="s">
        <v>59</v>
      </c>
      <c r="AD106" s="7" t="b">
        <v>1</v>
      </c>
      <c r="AE106" s="7" t="b">
        <v>0</v>
      </c>
      <c r="AF106" s="7" t="b">
        <v>0</v>
      </c>
      <c r="AG106" s="3" t="s">
        <v>60</v>
      </c>
      <c r="AH106" s="3" t="s">
        <v>52</v>
      </c>
      <c r="AI106" s="3" t="s">
        <v>52</v>
      </c>
      <c r="AJ106" s="3" t="s">
        <v>52</v>
      </c>
      <c r="AK106" s="3" t="s">
        <v>52</v>
      </c>
      <c r="AL106" s="7" t="b">
        <v>0</v>
      </c>
      <c r="AM106" s="3" t="s">
        <v>615</v>
      </c>
      <c r="AO106" s="2">
        <v>0</v>
      </c>
      <c r="AQ106" s="3" t="s">
        <v>76</v>
      </c>
      <c r="AR106" s="3" t="s">
        <v>77</v>
      </c>
      <c r="AS106" s="3" t="s">
        <v>52</v>
      </c>
      <c r="AT106" s="3" t="s">
        <v>52</v>
      </c>
      <c r="AU106" s="9"/>
      <c r="AV106" s="9"/>
      <c r="AW106" s="9">
        <v>1</v>
      </c>
      <c r="AX106" t="str">
        <f t="shared" si="1"/>
        <v>('PIERCE, JR.', 'JUAN', 'HIV/HEP C TESTING COUNSELOR', '8843 PROCTORS RUNDRIVE', 'NORTH CHESTERFIELD', 'VA', '23237', '(804) 677-2562', '', '4/16/1988', '4/19/2018', 'Varies', '', '', '', 'Certificate', '', '', 'Black', 'Male', '231-49-6732', '', '', '', '', '', 'SECULAR', '', 'TRUE', 'FALSE', 'FALSE', 'COVID INACTIVE', '', '', '', '', 'FALSE', 'April', '', '0', '', 'Main Jail', 'HU6', '', '', '', '', '1'),</v>
      </c>
    </row>
    <row r="107" spans="1:50" ht="25.5" x14ac:dyDescent="0.25">
      <c r="A107" s="2">
        <v>1040</v>
      </c>
      <c r="B107" s="3" t="s">
        <v>987</v>
      </c>
      <c r="C107" s="3" t="s">
        <v>980</v>
      </c>
      <c r="D107" s="3" t="s">
        <v>988</v>
      </c>
      <c r="E107" s="3" t="s">
        <v>989</v>
      </c>
      <c r="F107" s="3" t="s">
        <v>49</v>
      </c>
      <c r="G107" s="3" t="s">
        <v>50</v>
      </c>
      <c r="H107" s="4">
        <v>23223</v>
      </c>
      <c r="I107" s="3" t="s">
        <v>990</v>
      </c>
      <c r="J107" s="3" t="s">
        <v>52</v>
      </c>
      <c r="K107" s="5" t="s">
        <v>991</v>
      </c>
      <c r="L107" s="5" t="s">
        <v>992</v>
      </c>
      <c r="M107" s="3" t="s">
        <v>78</v>
      </c>
      <c r="N107" s="3" t="s">
        <v>52</v>
      </c>
      <c r="O107" s="3" t="s">
        <v>52</v>
      </c>
      <c r="P107" s="3" t="s">
        <v>52</v>
      </c>
      <c r="Q107" s="3" t="s">
        <v>55</v>
      </c>
      <c r="R107" s="3" t="s">
        <v>52</v>
      </c>
      <c r="S107" s="3" t="s">
        <v>52</v>
      </c>
      <c r="T107" s="3" t="s">
        <v>56</v>
      </c>
      <c r="U107" s="3" t="s">
        <v>89</v>
      </c>
      <c r="V107" s="3" t="s">
        <v>993</v>
      </c>
      <c r="W107" s="3" t="s">
        <v>52</v>
      </c>
      <c r="X107" s="3" t="s">
        <v>52</v>
      </c>
      <c r="Y107" s="3" t="s">
        <v>52</v>
      </c>
      <c r="Z107" s="3" t="s">
        <v>52</v>
      </c>
      <c r="AA107" s="3" t="s">
        <v>52</v>
      </c>
      <c r="AB107" s="3" t="s">
        <v>59</v>
      </c>
      <c r="AD107" s="7" t="b">
        <v>1</v>
      </c>
      <c r="AE107" s="7" t="b">
        <v>1</v>
      </c>
      <c r="AF107" s="7" t="b">
        <v>0</v>
      </c>
      <c r="AG107" s="3" t="s">
        <v>60</v>
      </c>
      <c r="AH107" s="3" t="s">
        <v>52</v>
      </c>
      <c r="AI107" s="3" t="s">
        <v>994</v>
      </c>
      <c r="AJ107" s="3" t="s">
        <v>52</v>
      </c>
      <c r="AK107" s="3" t="s">
        <v>52</v>
      </c>
      <c r="AL107" s="7" t="b">
        <v>0</v>
      </c>
      <c r="AM107" s="3" t="s">
        <v>131</v>
      </c>
      <c r="AO107" s="2">
        <v>0</v>
      </c>
      <c r="AQ107" s="3" t="s">
        <v>76</v>
      </c>
      <c r="AR107" s="3" t="s">
        <v>77</v>
      </c>
      <c r="AS107" s="3" t="s">
        <v>52</v>
      </c>
      <c r="AT107" s="3" t="s">
        <v>52</v>
      </c>
      <c r="AU107" s="9"/>
      <c r="AV107" s="9"/>
      <c r="AW107" s="9">
        <v>1</v>
      </c>
      <c r="AX107" t="str">
        <f t="shared" si="1"/>
        <v>('PIERCE, SR.', 'JUAN', 'HIV/ HEP C Prevention Education Awareness', '1416 NORTH 24TH STREET', 'RICHMOND', 'VA', '23223', '(804) 641-1555', '', '5/16/1962', '4/3/2011', 'Varies', '', '', '', 'Certificate', '', '', 'Black', 'Male', '227-96-7498', '', '', '', '', '', 'SECULAR', '', 'TRUE', 'TRUE', 'FALSE', 'COVID INACTIVE', '', 'HIV Facilitator', '', '', 'FALSE', 'May', '', '0', '', 'Main Jail', 'HU6', '', '', '', '', '1'),</v>
      </c>
    </row>
    <row r="108" spans="1:50" ht="25.5" x14ac:dyDescent="0.25">
      <c r="A108" s="2">
        <v>1279</v>
      </c>
      <c r="B108" s="3" t="s">
        <v>995</v>
      </c>
      <c r="C108" s="3" t="s">
        <v>996</v>
      </c>
      <c r="D108" s="3" t="s">
        <v>997</v>
      </c>
      <c r="E108" s="3" t="s">
        <v>998</v>
      </c>
      <c r="F108" s="3" t="s">
        <v>49</v>
      </c>
      <c r="G108" s="3" t="s">
        <v>50</v>
      </c>
      <c r="H108" s="4">
        <v>23236</v>
      </c>
      <c r="I108" s="3" t="s">
        <v>999</v>
      </c>
      <c r="J108" s="3" t="s">
        <v>52</v>
      </c>
      <c r="K108" s="5" t="s">
        <v>1000</v>
      </c>
      <c r="L108" s="5" t="s">
        <v>1001</v>
      </c>
      <c r="M108" s="3" t="s">
        <v>78</v>
      </c>
      <c r="N108" s="3" t="s">
        <v>52</v>
      </c>
      <c r="O108" s="3" t="s">
        <v>52</v>
      </c>
      <c r="P108" s="3" t="s">
        <v>52</v>
      </c>
      <c r="Q108" s="3" t="s">
        <v>52</v>
      </c>
      <c r="R108" s="3" t="s">
        <v>52</v>
      </c>
      <c r="S108" s="3" t="s">
        <v>1002</v>
      </c>
      <c r="T108" s="3" t="s">
        <v>103</v>
      </c>
      <c r="U108" s="3" t="s">
        <v>57</v>
      </c>
      <c r="V108" s="3" t="s">
        <v>1003</v>
      </c>
      <c r="W108" s="3" t="s">
        <v>52</v>
      </c>
      <c r="X108" s="3" t="s">
        <v>52</v>
      </c>
      <c r="Y108" s="3" t="s">
        <v>52</v>
      </c>
      <c r="Z108" s="3" t="s">
        <v>52</v>
      </c>
      <c r="AA108" s="3" t="s">
        <v>52</v>
      </c>
      <c r="AB108" s="3" t="s">
        <v>59</v>
      </c>
      <c r="AD108" s="7" t="b">
        <v>0</v>
      </c>
      <c r="AE108" s="7" t="b">
        <v>0</v>
      </c>
      <c r="AF108" s="7" t="b">
        <v>0</v>
      </c>
      <c r="AG108" s="3" t="s">
        <v>60</v>
      </c>
      <c r="AH108" s="3" t="s">
        <v>52</v>
      </c>
      <c r="AI108" s="3" t="s">
        <v>52</v>
      </c>
      <c r="AJ108" s="3" t="s">
        <v>52</v>
      </c>
      <c r="AK108" s="3" t="s">
        <v>52</v>
      </c>
      <c r="AL108" s="7" t="b">
        <v>0</v>
      </c>
      <c r="AM108" s="3" t="s">
        <v>52</v>
      </c>
      <c r="AO108" s="2">
        <v>0</v>
      </c>
      <c r="AQ108" s="3" t="s">
        <v>52</v>
      </c>
      <c r="AR108" s="3" t="s">
        <v>52</v>
      </c>
      <c r="AS108" s="3" t="s">
        <v>52</v>
      </c>
      <c r="AT108" s="3" t="s">
        <v>52</v>
      </c>
      <c r="AU108" s="9"/>
      <c r="AV108" s="9"/>
      <c r="AW108" s="9">
        <v>1</v>
      </c>
      <c r="AX108" t="str">
        <f t="shared" si="1"/>
        <v>('POWELL', 'KAREN', 'REENTRY SUPPORT GROUP', '10425 MELISSA MILL ROAD', 'RICHMOND', 'VA', '23236', '(804) 380-4050', '', '3/19/1960', '5/9/2019', 'Varies', '', '', '', '', '', 'drkarpow2018@gmail.com', 'White', 'Female', '240-23-9077', '', '', '', '', '', 'SECULAR', '', 'FALSE', 'FALSE', 'FALSE', 'COVID INACTIVE', '', '', '', '', 'FALSE', '', '', '0', '', '', '', '', '', '', '', '1'),</v>
      </c>
    </row>
    <row r="109" spans="1:50" ht="25.5" x14ac:dyDescent="0.25">
      <c r="A109" s="2">
        <v>1380</v>
      </c>
      <c r="B109" s="3" t="s">
        <v>1005</v>
      </c>
      <c r="C109" s="3" t="s">
        <v>1006</v>
      </c>
      <c r="D109" s="3" t="s">
        <v>1007</v>
      </c>
      <c r="E109" s="3" t="s">
        <v>1008</v>
      </c>
      <c r="F109" s="3" t="s">
        <v>558</v>
      </c>
      <c r="G109" s="3" t="s">
        <v>50</v>
      </c>
      <c r="H109" s="4">
        <v>23231</v>
      </c>
      <c r="I109" s="3" t="s">
        <v>52</v>
      </c>
      <c r="J109" s="3" t="s">
        <v>1009</v>
      </c>
      <c r="K109" s="5" t="s">
        <v>1010</v>
      </c>
      <c r="L109" s="5" t="s">
        <v>1011</v>
      </c>
      <c r="M109" s="3" t="s">
        <v>1004</v>
      </c>
      <c r="N109" s="3" t="s">
        <v>52</v>
      </c>
      <c r="O109" s="3" t="s">
        <v>52</v>
      </c>
      <c r="P109" s="3" t="s">
        <v>52</v>
      </c>
      <c r="Q109" s="3" t="s">
        <v>1012</v>
      </c>
      <c r="R109" s="3" t="s">
        <v>686</v>
      </c>
      <c r="S109" s="3" t="s">
        <v>1013</v>
      </c>
      <c r="T109" s="3" t="s">
        <v>56</v>
      </c>
      <c r="U109" s="3" t="s">
        <v>57</v>
      </c>
      <c r="V109" s="3" t="s">
        <v>1014</v>
      </c>
      <c r="W109" s="3" t="s">
        <v>52</v>
      </c>
      <c r="X109" s="3" t="s">
        <v>52</v>
      </c>
      <c r="Y109" s="3" t="s">
        <v>52</v>
      </c>
      <c r="Z109" s="3" t="s">
        <v>52</v>
      </c>
      <c r="AA109" s="3" t="s">
        <v>52</v>
      </c>
      <c r="AB109" s="3" t="s">
        <v>75</v>
      </c>
      <c r="AD109" s="7" t="b">
        <v>0</v>
      </c>
      <c r="AE109" s="7" t="b">
        <v>0</v>
      </c>
      <c r="AF109" s="7" t="b">
        <v>0</v>
      </c>
      <c r="AG109" s="3" t="s">
        <v>91</v>
      </c>
      <c r="AH109" s="3" t="s">
        <v>52</v>
      </c>
      <c r="AI109" s="3" t="s">
        <v>52</v>
      </c>
      <c r="AJ109" s="3" t="s">
        <v>52</v>
      </c>
      <c r="AK109" s="3" t="s">
        <v>52</v>
      </c>
      <c r="AL109" s="7" t="b">
        <v>0</v>
      </c>
      <c r="AM109" s="3" t="s">
        <v>131</v>
      </c>
      <c r="AO109" s="2">
        <v>0</v>
      </c>
      <c r="AQ109" s="3" t="s">
        <v>52</v>
      </c>
      <c r="AR109" s="3" t="s">
        <v>52</v>
      </c>
      <c r="AS109" s="3" t="s">
        <v>52</v>
      </c>
      <c r="AT109" s="3" t="s">
        <v>52</v>
      </c>
      <c r="AU109" s="9"/>
      <c r="AV109" s="9"/>
      <c r="AW109" s="9">
        <v>1</v>
      </c>
      <c r="AX109" t="str">
        <f t="shared" si="1"/>
        <v>('PUGH', 'CASAUNDRA', 'MINISTRY/ BIBLESTUDY/ SPIRTUAL COUNSELING', '6020 ALMOND CREEK NORTH LANE', 'HENRICO', 'VA', '23231', '', '(336) 803-9035', '5/26/1967', '2/28/2020', 'Thurs 9:00am-3:00pm', '', '', '', 'Certificate of Ordiniation', 'LICENSE', 'casaundra12@gmail.com', 'Black', 'Female', '135-64-1671', '', '', '', '', '', 'MINISTRY', '', 'FALSE', 'FALSE', 'FALSE', 'ACTIVE', '', '', '', '', 'FALSE', 'May', '', '0', '', '', '', '', '', '', '', '1'),</v>
      </c>
    </row>
    <row r="110" spans="1:50" ht="25.5" x14ac:dyDescent="0.25">
      <c r="A110" s="2">
        <v>1353</v>
      </c>
      <c r="B110" s="3" t="s">
        <v>1015</v>
      </c>
      <c r="C110" s="3" t="s">
        <v>1016</v>
      </c>
      <c r="D110" s="3" t="s">
        <v>271</v>
      </c>
      <c r="E110" s="3" t="s">
        <v>1017</v>
      </c>
      <c r="F110" s="3" t="s">
        <v>314</v>
      </c>
      <c r="G110" s="3" t="s">
        <v>50</v>
      </c>
      <c r="H110" s="4">
        <v>23834</v>
      </c>
      <c r="I110" s="3" t="s">
        <v>1018</v>
      </c>
      <c r="J110" s="3" t="s">
        <v>1018</v>
      </c>
      <c r="K110" s="5" t="s">
        <v>52</v>
      </c>
      <c r="L110" s="5" t="s">
        <v>52</v>
      </c>
      <c r="M110" s="3" t="s">
        <v>78</v>
      </c>
      <c r="N110" s="3" t="s">
        <v>52</v>
      </c>
      <c r="O110" s="3" t="s">
        <v>52</v>
      </c>
      <c r="P110" s="3" t="s">
        <v>52</v>
      </c>
      <c r="Q110" s="3" t="s">
        <v>52</v>
      </c>
      <c r="R110" s="3" t="s">
        <v>52</v>
      </c>
      <c r="S110" s="3" t="s">
        <v>52</v>
      </c>
      <c r="T110" s="3" t="s">
        <v>52</v>
      </c>
      <c r="U110" s="3" t="s">
        <v>52</v>
      </c>
      <c r="V110" s="3" t="s">
        <v>52</v>
      </c>
      <c r="W110" s="3" t="s">
        <v>52</v>
      </c>
      <c r="X110" s="3" t="s">
        <v>52</v>
      </c>
      <c r="Y110" s="3" t="s">
        <v>52</v>
      </c>
      <c r="Z110" s="3" t="s">
        <v>52</v>
      </c>
      <c r="AA110" s="3" t="s">
        <v>52</v>
      </c>
      <c r="AB110" s="3" t="s">
        <v>75</v>
      </c>
      <c r="AD110" s="7" t="b">
        <v>0</v>
      </c>
      <c r="AE110" s="7" t="b">
        <v>0</v>
      </c>
      <c r="AF110" s="7" t="b">
        <v>0</v>
      </c>
      <c r="AG110" s="3" t="s">
        <v>60</v>
      </c>
      <c r="AH110" s="3" t="s">
        <v>52</v>
      </c>
      <c r="AI110" s="3" t="s">
        <v>52</v>
      </c>
      <c r="AJ110" s="3" t="s">
        <v>52</v>
      </c>
      <c r="AK110" s="3" t="s">
        <v>52</v>
      </c>
      <c r="AL110" s="7" t="b">
        <v>0</v>
      </c>
      <c r="AM110" s="3" t="s">
        <v>52</v>
      </c>
      <c r="AO110" s="2">
        <v>0</v>
      </c>
      <c r="AQ110" s="3" t="s">
        <v>52</v>
      </c>
      <c r="AR110" s="3" t="s">
        <v>52</v>
      </c>
      <c r="AS110" s="3" t="s">
        <v>52</v>
      </c>
      <c r="AT110" s="3" t="s">
        <v>52</v>
      </c>
      <c r="AU110" s="9"/>
      <c r="AV110" s="9"/>
      <c r="AW110" s="9">
        <v>1</v>
      </c>
      <c r="AX110" t="str">
        <f t="shared" si="1"/>
        <v>('RAMIREZ JR.', 'RAYMOND', 'MINISTRY-SPANISH BIBLE STUDY', '103 PRINCETON ROAD', 'COLONIAL HEIGHTS', 'VA', '23834', '(804) 216-1392', '(804) 216-1392', '', '', 'Varies', '', '', '', '', '', '', '', '', '', '', '', '', '', '', 'MINISTRY', '', 'FALSE', 'FALSE', 'FALSE', 'COVID INACTIVE', '', '', '', '', 'FALSE', '', '', '0', '', '', '', '', '', '', '', '1'),</v>
      </c>
    </row>
    <row r="111" spans="1:50" ht="25.5" x14ac:dyDescent="0.25">
      <c r="A111" s="2">
        <v>1163</v>
      </c>
      <c r="B111" s="3" t="s">
        <v>1019</v>
      </c>
      <c r="C111" s="3" t="s">
        <v>1020</v>
      </c>
      <c r="D111" s="3" t="s">
        <v>122</v>
      </c>
      <c r="E111" s="3" t="s">
        <v>1021</v>
      </c>
      <c r="F111" s="3" t="s">
        <v>136</v>
      </c>
      <c r="G111" s="3" t="s">
        <v>50</v>
      </c>
      <c r="H111" s="4">
        <v>23237</v>
      </c>
      <c r="I111" s="3" t="s">
        <v>1022</v>
      </c>
      <c r="J111" s="3" t="s">
        <v>52</v>
      </c>
      <c r="K111" s="5" t="s">
        <v>1023</v>
      </c>
      <c r="L111" s="5" t="s">
        <v>1024</v>
      </c>
      <c r="M111" s="3" t="s">
        <v>765</v>
      </c>
      <c r="N111" s="3" t="s">
        <v>52</v>
      </c>
      <c r="O111" s="3" t="s">
        <v>52</v>
      </c>
      <c r="P111" s="3" t="s">
        <v>52</v>
      </c>
      <c r="Q111" s="3" t="s">
        <v>102</v>
      </c>
      <c r="R111" s="3" t="s">
        <v>52</v>
      </c>
      <c r="S111" s="3" t="s">
        <v>52</v>
      </c>
      <c r="T111" s="3" t="s">
        <v>103</v>
      </c>
      <c r="U111" s="3" t="s">
        <v>89</v>
      </c>
      <c r="V111" s="3" t="s">
        <v>1025</v>
      </c>
      <c r="W111" s="3" t="s">
        <v>52</v>
      </c>
      <c r="X111" s="3" t="s">
        <v>52</v>
      </c>
      <c r="Y111" s="3" t="s">
        <v>52</v>
      </c>
      <c r="Z111" s="3" t="s">
        <v>52</v>
      </c>
      <c r="AA111" s="3" t="s">
        <v>52</v>
      </c>
      <c r="AB111" s="3" t="s">
        <v>59</v>
      </c>
      <c r="AD111" s="7" t="b">
        <v>0</v>
      </c>
      <c r="AE111" s="7" t="b">
        <v>0</v>
      </c>
      <c r="AF111" s="7" t="b">
        <v>0</v>
      </c>
      <c r="AG111" s="3" t="s">
        <v>60</v>
      </c>
      <c r="AH111" s="3" t="s">
        <v>52</v>
      </c>
      <c r="AI111" s="3" t="s">
        <v>52</v>
      </c>
      <c r="AJ111" s="3" t="s">
        <v>52</v>
      </c>
      <c r="AK111" s="3" t="s">
        <v>52</v>
      </c>
      <c r="AL111" s="7" t="b">
        <v>0</v>
      </c>
      <c r="AM111" s="3" t="s">
        <v>131</v>
      </c>
      <c r="AO111" s="2">
        <v>229</v>
      </c>
      <c r="AQ111" s="3" t="s">
        <v>52</v>
      </c>
      <c r="AR111" s="3" t="s">
        <v>52</v>
      </c>
      <c r="AS111" s="3" t="s">
        <v>52</v>
      </c>
      <c r="AT111" s="3" t="s">
        <v>52</v>
      </c>
      <c r="AU111" s="9"/>
      <c r="AV111" s="9"/>
      <c r="AW111" s="9">
        <v>1</v>
      </c>
      <c r="AX111" t="str">
        <f t="shared" si="1"/>
        <v>('RAMSEY', 'ROBERT', 'AA MEETINGS', '5831 SARA KAY DRIVE', 'NORTH CHESTERFIELD', 'VA', '23237', '(804) 218-6757', '', '5/26/1957', '10/8/2015', '2nd &amp; 4th Wed 7:30pm-8:30pm', '', '', '', 'Life Experiences', '', '', 'White', 'Male', '379-50-6656', '', '', '', '', '', 'SECULAR', '', 'FALSE', 'FALSE', 'FALSE', 'COVID INACTIVE', '', '', '', '', 'FALSE', 'May', '', '229', '', '', '', '', '', '', '', '1'),</v>
      </c>
    </row>
    <row r="112" spans="1:50" ht="25.5" x14ac:dyDescent="0.25">
      <c r="A112" s="2">
        <v>1354</v>
      </c>
      <c r="B112" s="3" t="s">
        <v>1027</v>
      </c>
      <c r="C112" s="3" t="s">
        <v>1028</v>
      </c>
      <c r="D112" s="3" t="s">
        <v>107</v>
      </c>
      <c r="E112" s="3" t="s">
        <v>1029</v>
      </c>
      <c r="F112" s="3" t="s">
        <v>282</v>
      </c>
      <c r="G112" s="3" t="s">
        <v>50</v>
      </c>
      <c r="H112" s="4">
        <v>23860</v>
      </c>
      <c r="I112" s="3" t="s">
        <v>1030</v>
      </c>
      <c r="J112" s="3" t="s">
        <v>1031</v>
      </c>
      <c r="K112" s="5" t="s">
        <v>1032</v>
      </c>
      <c r="L112" s="5" t="s">
        <v>1033</v>
      </c>
      <c r="M112" s="3" t="s">
        <v>1026</v>
      </c>
      <c r="N112" s="3" t="s">
        <v>52</v>
      </c>
      <c r="O112" s="3" t="s">
        <v>52</v>
      </c>
      <c r="P112" s="3" t="s">
        <v>52</v>
      </c>
      <c r="Q112" s="3" t="s">
        <v>52</v>
      </c>
      <c r="R112" s="3" t="s">
        <v>52</v>
      </c>
      <c r="S112" s="3" t="s">
        <v>1034</v>
      </c>
      <c r="T112" s="3" t="s">
        <v>103</v>
      </c>
      <c r="U112" s="3" t="s">
        <v>89</v>
      </c>
      <c r="V112" s="3" t="s">
        <v>1035</v>
      </c>
      <c r="W112" s="3" t="s">
        <v>1036</v>
      </c>
      <c r="X112" s="3" t="s">
        <v>52</v>
      </c>
      <c r="Y112" s="3" t="s">
        <v>52</v>
      </c>
      <c r="Z112" s="3" t="s">
        <v>52</v>
      </c>
      <c r="AA112" s="3" t="s">
        <v>52</v>
      </c>
      <c r="AB112" s="3" t="s">
        <v>75</v>
      </c>
      <c r="AD112" s="7" t="b">
        <v>0</v>
      </c>
      <c r="AE112" s="7" t="b">
        <v>0</v>
      </c>
      <c r="AF112" s="7" t="b">
        <v>0</v>
      </c>
      <c r="AG112" s="3" t="s">
        <v>60</v>
      </c>
      <c r="AH112" s="3" t="s">
        <v>52</v>
      </c>
      <c r="AI112" s="3" t="s">
        <v>52</v>
      </c>
      <c r="AJ112" s="3" t="s">
        <v>52</v>
      </c>
      <c r="AK112" s="3" t="s">
        <v>52</v>
      </c>
      <c r="AL112" s="7" t="b">
        <v>0</v>
      </c>
      <c r="AM112" s="3" t="s">
        <v>248</v>
      </c>
      <c r="AO112" s="2">
        <v>0</v>
      </c>
      <c r="AQ112" s="3" t="s">
        <v>52</v>
      </c>
      <c r="AR112" s="3" t="s">
        <v>52</v>
      </c>
      <c r="AS112" s="3" t="s">
        <v>52</v>
      </c>
      <c r="AT112" s="3" t="s">
        <v>1037</v>
      </c>
      <c r="AU112" s="9"/>
      <c r="AV112" s="9"/>
      <c r="AW112" s="9">
        <v>1</v>
      </c>
      <c r="AX112" t="str">
        <f t="shared" si="1"/>
        <v>('REED', 'EDDIE', 'MINISTRY-COUNSELING', '1600 ATLANTIC STREET', 'HOPEWELL', 'VA', '23860', '(804) 458-6765', '(804) 452-0920', '6/4/1956', '9/30/2016', 'THU HU3C, D, E', '', '', '', '', '', 'eddiereed1997@gmail.com', 'White', 'Male', '247-21-3016', 'commitment agreement; ordination or license', '', '', '', '', 'MINISTRY', '', 'FALSE', 'FALSE', 'FALSE', 'COVID INACTIVE', '', '', '', '', 'FALSE', 'June', '', '0', '', '', '', '', 'acoustic guitar', '', '', '1'),</v>
      </c>
    </row>
    <row r="113" spans="1:50" ht="25.5" x14ac:dyDescent="0.25">
      <c r="A113" s="2">
        <v>1387</v>
      </c>
      <c r="B113" s="3" t="s">
        <v>1038</v>
      </c>
      <c r="C113" s="3" t="s">
        <v>1039</v>
      </c>
      <c r="D113" s="3" t="s">
        <v>261</v>
      </c>
      <c r="E113" s="3" t="s">
        <v>1040</v>
      </c>
      <c r="F113" s="3" t="s">
        <v>150</v>
      </c>
      <c r="G113" s="3" t="s">
        <v>50</v>
      </c>
      <c r="H113" s="4">
        <v>23875</v>
      </c>
      <c r="I113" s="3" t="s">
        <v>1041</v>
      </c>
      <c r="J113" s="3" t="s">
        <v>1041</v>
      </c>
      <c r="K113" s="5" t="s">
        <v>1042</v>
      </c>
      <c r="L113" s="5" t="s">
        <v>1043</v>
      </c>
      <c r="M113" s="3" t="s">
        <v>258</v>
      </c>
      <c r="N113" s="3" t="s">
        <v>52</v>
      </c>
      <c r="O113" s="3" t="s">
        <v>52</v>
      </c>
      <c r="P113" s="3" t="s">
        <v>52</v>
      </c>
      <c r="Q113" s="3" t="s">
        <v>87</v>
      </c>
      <c r="R113" s="3" t="s">
        <v>52</v>
      </c>
      <c r="S113" s="3" t="s">
        <v>1044</v>
      </c>
      <c r="T113" s="3" t="s">
        <v>56</v>
      </c>
      <c r="U113" s="3" t="s">
        <v>57</v>
      </c>
      <c r="V113" s="3" t="s">
        <v>1045</v>
      </c>
      <c r="W113" s="3" t="s">
        <v>52</v>
      </c>
      <c r="X113" s="3" t="s">
        <v>52</v>
      </c>
      <c r="Y113" s="3" t="s">
        <v>52</v>
      </c>
      <c r="Z113" s="3" t="s">
        <v>52</v>
      </c>
      <c r="AA113" s="3" t="s">
        <v>52</v>
      </c>
      <c r="AB113" s="3" t="s">
        <v>59</v>
      </c>
      <c r="AD113" s="7" t="b">
        <v>0</v>
      </c>
      <c r="AE113" s="7" t="b">
        <v>0</v>
      </c>
      <c r="AF113" s="7" t="b">
        <v>0</v>
      </c>
      <c r="AG113" s="3" t="s">
        <v>91</v>
      </c>
      <c r="AH113" s="3" t="s">
        <v>52</v>
      </c>
      <c r="AI113" s="3" t="s">
        <v>52</v>
      </c>
      <c r="AJ113" s="3" t="s">
        <v>52</v>
      </c>
      <c r="AK113" s="3" t="s">
        <v>52</v>
      </c>
      <c r="AL113" s="7" t="b">
        <v>0</v>
      </c>
      <c r="AM113" s="3" t="s">
        <v>217</v>
      </c>
      <c r="AO113" s="2">
        <v>0</v>
      </c>
      <c r="AQ113" s="3" t="s">
        <v>52</v>
      </c>
      <c r="AR113" s="3" t="s">
        <v>52</v>
      </c>
      <c r="AS113" s="3" t="s">
        <v>52</v>
      </c>
      <c r="AT113" s="3" t="s">
        <v>52</v>
      </c>
      <c r="AU113" s="9"/>
      <c r="AV113" s="9"/>
      <c r="AW113" s="9">
        <v>1</v>
      </c>
      <c r="AX113" t="str">
        <f t="shared" si="1"/>
        <v>('ROBERTSON', 'TONETTE', 'DISTRICT 19', '4400 JEFFERSON POINTE LANE APT # 12', 'PRINCE GEORGE', 'VA', '23875', '(434) 213-0476', '(434) 213-0476', '3/7/1991', '11/6/2023', 'Tues &amp; Thurs 9:30am-11:00am', '', '', '', 'Degree', '', 'trobertson@d19csb.com', 'Black', 'Female', '226-61-1405', '', '', '', '', '', 'SECULAR', '', 'FALSE', 'FALSE', 'FALSE', 'ACTIVE', '', '', '', '', 'FALSE', 'March', '', '0', '', '', '', '', '', '', '', '1'),</v>
      </c>
    </row>
    <row r="114" spans="1:50" ht="25.5" x14ac:dyDescent="0.25">
      <c r="A114" s="2">
        <v>1355</v>
      </c>
      <c r="B114" s="3" t="s">
        <v>1038</v>
      </c>
      <c r="C114" s="3" t="s">
        <v>1047</v>
      </c>
      <c r="D114" s="3" t="s">
        <v>892</v>
      </c>
      <c r="E114" s="3" t="s">
        <v>1048</v>
      </c>
      <c r="F114" s="3" t="s">
        <v>49</v>
      </c>
      <c r="G114" s="3" t="s">
        <v>50</v>
      </c>
      <c r="H114" s="4">
        <v>23222</v>
      </c>
      <c r="I114" s="3" t="s">
        <v>1049</v>
      </c>
      <c r="J114" s="3" t="s">
        <v>1049</v>
      </c>
      <c r="K114" s="5" t="s">
        <v>1050</v>
      </c>
      <c r="L114" s="5" t="s">
        <v>235</v>
      </c>
      <c r="M114" s="3" t="s">
        <v>1046</v>
      </c>
      <c r="N114" s="3" t="s">
        <v>52</v>
      </c>
      <c r="O114" s="3" t="s">
        <v>1051</v>
      </c>
      <c r="P114" s="3" t="s">
        <v>52</v>
      </c>
      <c r="Q114" s="3" t="s">
        <v>52</v>
      </c>
      <c r="R114" s="3" t="s">
        <v>52</v>
      </c>
      <c r="S114" s="3" t="s">
        <v>1052</v>
      </c>
      <c r="T114" s="3" t="s">
        <v>52</v>
      </c>
      <c r="U114" s="3" t="s">
        <v>57</v>
      </c>
      <c r="V114" s="3" t="s">
        <v>1053</v>
      </c>
      <c r="W114" s="3" t="s">
        <v>52</v>
      </c>
      <c r="X114" s="3" t="s">
        <v>52</v>
      </c>
      <c r="Y114" s="3" t="s">
        <v>822</v>
      </c>
      <c r="Z114" s="3" t="s">
        <v>823</v>
      </c>
      <c r="AA114" s="3" t="s">
        <v>52</v>
      </c>
      <c r="AB114" s="3" t="s">
        <v>75</v>
      </c>
      <c r="AD114" s="7" t="b">
        <v>0</v>
      </c>
      <c r="AE114" s="7" t="b">
        <v>0</v>
      </c>
      <c r="AF114" s="7" t="b">
        <v>0</v>
      </c>
      <c r="AG114" s="3" t="s">
        <v>60</v>
      </c>
      <c r="AH114" s="3" t="s">
        <v>52</v>
      </c>
      <c r="AI114" s="3" t="s">
        <v>490</v>
      </c>
      <c r="AJ114" s="3" t="s">
        <v>52</v>
      </c>
      <c r="AK114" s="3" t="s">
        <v>52</v>
      </c>
      <c r="AL114" s="7" t="b">
        <v>0</v>
      </c>
      <c r="AM114" s="3" t="s">
        <v>237</v>
      </c>
      <c r="AO114" s="2">
        <v>0</v>
      </c>
      <c r="AQ114" s="3" t="s">
        <v>52</v>
      </c>
      <c r="AR114" s="3" t="s">
        <v>52</v>
      </c>
      <c r="AS114" s="3" t="s">
        <v>52</v>
      </c>
      <c r="AT114" s="3" t="s">
        <v>52</v>
      </c>
      <c r="AU114" s="9"/>
      <c r="AV114" s="9"/>
      <c r="AW114" s="9">
        <v>1</v>
      </c>
      <c r="AX114" t="str">
        <f t="shared" si="1"/>
        <v>('ROBERTSON', 'IOLA', 'MINSTRY-SUNDAY SERVICE', '1715 4TH AVENUE', 'RICHMOND', 'VA', '23222', '(804) 852-4330', '(804) 852-4330', '1/14/1965', '8/17/2016', '2ND SUN 2:00-3:45PM HU1B; 5TH SUN 2:00-3:45PM HU1B', '', 'Colonial Heights Baptist', '', '', '', 'andlearnon3@yahoo.com', '', 'Female', '226-15-2824', '', '', 'Randy Hahn', '(804) 526-0424', '', 'MINISTRY', '', 'FALSE', 'FALSE', 'FALSE', 'COVID INACTIVE', '', 'Baptist', '', '', 'FALSE', 'January', '', '0', '', '', '', '', '', '', '', '1'),</v>
      </c>
    </row>
    <row r="115" spans="1:50" ht="25.5" x14ac:dyDescent="0.25">
      <c r="A115" s="2">
        <v>1356</v>
      </c>
      <c r="B115" s="3" t="s">
        <v>1055</v>
      </c>
      <c r="C115" s="3" t="s">
        <v>1028</v>
      </c>
      <c r="D115" s="3" t="s">
        <v>148</v>
      </c>
      <c r="E115" s="3" t="s">
        <v>1056</v>
      </c>
      <c r="F115" s="3" t="s">
        <v>150</v>
      </c>
      <c r="G115" s="3" t="s">
        <v>50</v>
      </c>
      <c r="H115" s="4">
        <v>23875</v>
      </c>
      <c r="I115" s="3" t="s">
        <v>1057</v>
      </c>
      <c r="J115" s="3" t="s">
        <v>1057</v>
      </c>
      <c r="K115" s="5" t="s">
        <v>1058</v>
      </c>
      <c r="L115" s="5" t="s">
        <v>1059</v>
      </c>
      <c r="M115" s="3" t="s">
        <v>1054</v>
      </c>
      <c r="N115" s="3" t="s">
        <v>52</v>
      </c>
      <c r="O115" s="3" t="s">
        <v>52</v>
      </c>
      <c r="P115" s="3" t="s">
        <v>52</v>
      </c>
      <c r="Q115" s="3" t="s">
        <v>52</v>
      </c>
      <c r="R115" s="3" t="s">
        <v>52</v>
      </c>
      <c r="S115" s="3" t="s">
        <v>1060</v>
      </c>
      <c r="T115" s="3" t="s">
        <v>56</v>
      </c>
      <c r="U115" s="3" t="s">
        <v>89</v>
      </c>
      <c r="V115" s="3" t="s">
        <v>1061</v>
      </c>
      <c r="W115" s="3" t="s">
        <v>52</v>
      </c>
      <c r="X115" s="3" t="s">
        <v>52</v>
      </c>
      <c r="Y115" s="3" t="s">
        <v>52</v>
      </c>
      <c r="Z115" s="3" t="s">
        <v>52</v>
      </c>
      <c r="AA115" s="3" t="s">
        <v>52</v>
      </c>
      <c r="AB115" s="3" t="s">
        <v>75</v>
      </c>
      <c r="AD115" s="7" t="b">
        <v>0</v>
      </c>
      <c r="AE115" s="7" t="b">
        <v>0</v>
      </c>
      <c r="AF115" s="7" t="b">
        <v>0</v>
      </c>
      <c r="AG115" s="3" t="s">
        <v>60</v>
      </c>
      <c r="AH115" s="3" t="s">
        <v>52</v>
      </c>
      <c r="AI115" s="3" t="s">
        <v>52</v>
      </c>
      <c r="AJ115" s="3" t="s">
        <v>52</v>
      </c>
      <c r="AK115" s="3" t="s">
        <v>52</v>
      </c>
      <c r="AL115" s="7" t="b">
        <v>0</v>
      </c>
      <c r="AM115" s="3" t="s">
        <v>52</v>
      </c>
      <c r="AO115" s="2">
        <v>0</v>
      </c>
      <c r="AQ115" s="3" t="s">
        <v>52</v>
      </c>
      <c r="AR115" s="3" t="s">
        <v>52</v>
      </c>
      <c r="AS115" s="3" t="s">
        <v>52</v>
      </c>
      <c r="AT115" s="3" t="s">
        <v>52</v>
      </c>
      <c r="AU115" s="9"/>
      <c r="AV115" s="9"/>
      <c r="AW115" s="9">
        <v>1</v>
      </c>
      <c r="AX115" t="str">
        <f t="shared" si="1"/>
        <v>('ROBINSON', 'EDDIE', 'MINISTRY-SUNDAY SERVICE', '6409 BLAIR COURT', 'PRINCE GEORGE', 'VA', '23875', '(248) 798-1229', '(248) 798-1229', '5/23/1948', '7/31/2009', 'SUN ALTERNATE', '', '', '', '', '', 'elr2004@verizon.net', 'Black', 'Male', '431-86-3593', '', '', '', '', '', 'MINISTRY', '', 'FALSE', 'FALSE', 'FALSE', 'COVID INACTIVE', '', '', '', '', 'FALSE', '', '', '0', '', '', '', '', '', '', '', '1'),</v>
      </c>
    </row>
    <row r="116" spans="1:50" ht="25.5" x14ac:dyDescent="0.25">
      <c r="A116" s="2">
        <v>1042</v>
      </c>
      <c r="B116" s="3" t="s">
        <v>1063</v>
      </c>
      <c r="C116" s="3" t="s">
        <v>1064</v>
      </c>
      <c r="D116" s="3" t="s">
        <v>1065</v>
      </c>
      <c r="E116" s="3" t="s">
        <v>1066</v>
      </c>
      <c r="F116" s="3" t="s">
        <v>314</v>
      </c>
      <c r="G116" s="3" t="s">
        <v>50</v>
      </c>
      <c r="H116" s="4">
        <v>23834</v>
      </c>
      <c r="I116" s="3" t="s">
        <v>1067</v>
      </c>
      <c r="J116" s="3" t="s">
        <v>52</v>
      </c>
      <c r="K116" s="5" t="s">
        <v>1068</v>
      </c>
      <c r="L116" s="5" t="s">
        <v>1069</v>
      </c>
      <c r="M116" s="3" t="s">
        <v>1062</v>
      </c>
      <c r="N116" s="3" t="s">
        <v>52</v>
      </c>
      <c r="O116" s="3" t="s">
        <v>1070</v>
      </c>
      <c r="P116" s="3" t="s">
        <v>52</v>
      </c>
      <c r="Q116" s="3" t="s">
        <v>685</v>
      </c>
      <c r="R116" s="3" t="s">
        <v>52</v>
      </c>
      <c r="S116" s="3" t="s">
        <v>52</v>
      </c>
      <c r="T116" s="3" t="s">
        <v>56</v>
      </c>
      <c r="U116" s="3" t="s">
        <v>57</v>
      </c>
      <c r="V116" s="3" t="s">
        <v>1071</v>
      </c>
      <c r="W116" s="3" t="s">
        <v>52</v>
      </c>
      <c r="X116" s="3" t="s">
        <v>1072</v>
      </c>
      <c r="Y116" s="3" t="s">
        <v>1073</v>
      </c>
      <c r="Z116" s="3" t="s">
        <v>52</v>
      </c>
      <c r="AA116" s="3" t="s">
        <v>52</v>
      </c>
      <c r="AB116" s="3" t="s">
        <v>59</v>
      </c>
      <c r="AD116" s="7" t="b">
        <v>1</v>
      </c>
      <c r="AE116" s="7" t="b">
        <v>1</v>
      </c>
      <c r="AF116" s="7" t="b">
        <v>0</v>
      </c>
      <c r="AG116" s="3" t="s">
        <v>60</v>
      </c>
      <c r="AH116" s="3" t="s">
        <v>52</v>
      </c>
      <c r="AI116" s="3" t="s">
        <v>994</v>
      </c>
      <c r="AJ116" s="3" t="s">
        <v>52</v>
      </c>
      <c r="AK116" s="3" t="s">
        <v>52</v>
      </c>
      <c r="AL116" s="7" t="b">
        <v>0</v>
      </c>
      <c r="AM116" s="3" t="s">
        <v>248</v>
      </c>
      <c r="AO116" s="2">
        <v>0</v>
      </c>
      <c r="AQ116" s="3" t="s">
        <v>52</v>
      </c>
      <c r="AR116" s="3" t="s">
        <v>52</v>
      </c>
      <c r="AS116" s="3" t="s">
        <v>52</v>
      </c>
      <c r="AT116" s="3" t="s">
        <v>52</v>
      </c>
      <c r="AU116" s="9"/>
      <c r="AV116" s="9"/>
      <c r="AW116" s="9">
        <v>1</v>
      </c>
      <c r="AX116" t="str">
        <f t="shared" si="1"/>
        <v>('SAWYER', 'PAMELA', 'HIV/  Prevention Education Awareness', '1400 BRANDERSBRIDGE APT # C7', 'COLONIAL HEIGHTS', 'VA', '23834', '(804) 397-3429', '', '6/8/1956', '12/9/2009', '4th Sat 9:30am-10:30am', '', 'Victory Christian United Church of Christ', '', 'License', '', '', 'Black', 'Female', '165-48-1153', '', '32 WYTHE STREET PETERSBURG,VA', 'ROSE WRIGHT-SCOTT', '', '', 'SECULAR', '', 'TRUE', 'TRUE', 'FALSE', 'COVID INACTIVE', '', 'HIV Facilitator', '', '', 'FALSE', 'June', '', '0', '', '', '', '', '', '', '', '1'),</v>
      </c>
    </row>
    <row r="117" spans="1:50" ht="25.5" x14ac:dyDescent="0.25">
      <c r="A117" s="2">
        <v>1357</v>
      </c>
      <c r="B117" s="3" t="s">
        <v>1075</v>
      </c>
      <c r="C117" s="3" t="s">
        <v>1076</v>
      </c>
      <c r="D117" s="3" t="s">
        <v>107</v>
      </c>
      <c r="E117" s="3" t="s">
        <v>1077</v>
      </c>
      <c r="F117" s="3" t="s">
        <v>49</v>
      </c>
      <c r="G117" s="3" t="s">
        <v>50</v>
      </c>
      <c r="H117" s="4">
        <v>23236</v>
      </c>
      <c r="I117" s="3" t="s">
        <v>1078</v>
      </c>
      <c r="J117" s="3" t="s">
        <v>52</v>
      </c>
      <c r="K117" s="5" t="s">
        <v>52</v>
      </c>
      <c r="L117" s="5" t="s">
        <v>52</v>
      </c>
      <c r="M117" s="3" t="s">
        <v>1074</v>
      </c>
      <c r="N117" s="3" t="s">
        <v>52</v>
      </c>
      <c r="O117" s="3" t="s">
        <v>52</v>
      </c>
      <c r="P117" s="3" t="s">
        <v>52</v>
      </c>
      <c r="Q117" s="3" t="s">
        <v>52</v>
      </c>
      <c r="R117" s="3" t="s">
        <v>52</v>
      </c>
      <c r="S117" s="3" t="s">
        <v>52</v>
      </c>
      <c r="T117" s="3" t="s">
        <v>103</v>
      </c>
      <c r="U117" s="3" t="s">
        <v>89</v>
      </c>
      <c r="V117" s="3" t="s">
        <v>52</v>
      </c>
      <c r="W117" s="3" t="s">
        <v>52</v>
      </c>
      <c r="X117" s="3" t="s">
        <v>52</v>
      </c>
      <c r="Y117" s="3" t="s">
        <v>52</v>
      </c>
      <c r="Z117" s="3" t="s">
        <v>52</v>
      </c>
      <c r="AA117" s="3" t="s">
        <v>52</v>
      </c>
      <c r="AB117" s="3" t="s">
        <v>75</v>
      </c>
      <c r="AD117" s="7" t="b">
        <v>0</v>
      </c>
      <c r="AE117" s="7" t="b">
        <v>0</v>
      </c>
      <c r="AF117" s="7" t="b">
        <v>0</v>
      </c>
      <c r="AG117" s="3" t="s">
        <v>60</v>
      </c>
      <c r="AH117" s="3" t="s">
        <v>52</v>
      </c>
      <c r="AI117" s="3" t="s">
        <v>52</v>
      </c>
      <c r="AJ117" s="3" t="s">
        <v>226</v>
      </c>
      <c r="AK117" s="3" t="s">
        <v>1079</v>
      </c>
      <c r="AL117" s="7" t="b">
        <v>1</v>
      </c>
      <c r="AM117" s="3" t="s">
        <v>52</v>
      </c>
      <c r="AO117" s="2">
        <v>0</v>
      </c>
      <c r="AQ117" s="3" t="s">
        <v>52</v>
      </c>
      <c r="AR117" s="3" t="s">
        <v>52</v>
      </c>
      <c r="AS117" s="3" t="s">
        <v>52</v>
      </c>
      <c r="AT117" s="3" t="s">
        <v>52</v>
      </c>
      <c r="AU117" s="9"/>
      <c r="AV117" s="9"/>
      <c r="AW117" s="9">
        <v>1</v>
      </c>
      <c r="AX117" t="str">
        <f t="shared" si="1"/>
        <v>('SERVAIS', 'MICHAEL', 'MINISTRY-COUNSELING', '10409 MELISSA MILL ROAD', 'RICHMOND', 'VA', '23236', '(804) 727-9388', '', '', '', 'HU2D, E', '', '', '', '', '', '', 'White', 'Male', '', '', '', '', '', '', 'MINISTRY', '', 'FALSE', 'FALSE', 'FALSE', 'COVID INACTIVE', '', '', 'ON CALL', 'ANYTIME', 'TRUE', '', '', '0', '', '', '', '', '', '', '', '1'),</v>
      </c>
    </row>
    <row r="118" spans="1:50" ht="25.5" x14ac:dyDescent="0.25">
      <c r="A118" s="2">
        <v>1358</v>
      </c>
      <c r="B118" s="3" t="s">
        <v>1080</v>
      </c>
      <c r="C118" s="3" t="s">
        <v>1081</v>
      </c>
      <c r="D118" s="3" t="s">
        <v>148</v>
      </c>
      <c r="E118" s="3" t="s">
        <v>1082</v>
      </c>
      <c r="F118" s="3" t="s">
        <v>49</v>
      </c>
      <c r="G118" s="3" t="s">
        <v>50</v>
      </c>
      <c r="H118" s="4">
        <v>23220</v>
      </c>
      <c r="I118" s="3" t="s">
        <v>1083</v>
      </c>
      <c r="J118" s="3" t="s">
        <v>1084</v>
      </c>
      <c r="K118" s="5" t="s">
        <v>52</v>
      </c>
      <c r="L118" s="5" t="s">
        <v>52</v>
      </c>
      <c r="M118" s="3" t="s">
        <v>973</v>
      </c>
      <c r="N118" s="3" t="s">
        <v>52</v>
      </c>
      <c r="O118" s="3" t="s">
        <v>52</v>
      </c>
      <c r="P118" s="3" t="s">
        <v>52</v>
      </c>
      <c r="Q118" s="3" t="s">
        <v>52</v>
      </c>
      <c r="R118" s="3" t="s">
        <v>52</v>
      </c>
      <c r="S118" s="3" t="s">
        <v>52</v>
      </c>
      <c r="T118" s="3" t="s">
        <v>52</v>
      </c>
      <c r="U118" s="3" t="s">
        <v>52</v>
      </c>
      <c r="V118" s="3" t="s">
        <v>52</v>
      </c>
      <c r="W118" s="3" t="s">
        <v>52</v>
      </c>
      <c r="X118" s="3" t="s">
        <v>52</v>
      </c>
      <c r="Y118" s="3" t="s">
        <v>52</v>
      </c>
      <c r="Z118" s="3" t="s">
        <v>52</v>
      </c>
      <c r="AA118" s="3" t="s">
        <v>52</v>
      </c>
      <c r="AB118" s="3" t="s">
        <v>75</v>
      </c>
      <c r="AD118" s="7" t="b">
        <v>0</v>
      </c>
      <c r="AE118" s="7" t="b">
        <v>0</v>
      </c>
      <c r="AF118" s="7" t="b">
        <v>0</v>
      </c>
      <c r="AG118" s="3" t="s">
        <v>60</v>
      </c>
      <c r="AH118" s="3" t="s">
        <v>52</v>
      </c>
      <c r="AI118" s="3" t="s">
        <v>52</v>
      </c>
      <c r="AJ118" s="3" t="s">
        <v>52</v>
      </c>
      <c r="AK118" s="3" t="s">
        <v>52</v>
      </c>
      <c r="AL118" s="7" t="b">
        <v>0</v>
      </c>
      <c r="AM118" s="3" t="s">
        <v>52</v>
      </c>
      <c r="AO118" s="2">
        <v>0</v>
      </c>
      <c r="AQ118" s="3" t="s">
        <v>52</v>
      </c>
      <c r="AR118" s="3" t="s">
        <v>52</v>
      </c>
      <c r="AS118" s="3" t="s">
        <v>52</v>
      </c>
      <c r="AT118" s="3" t="s">
        <v>52</v>
      </c>
      <c r="AU118" s="9"/>
      <c r="AV118" s="9"/>
      <c r="AW118" s="9">
        <v>1</v>
      </c>
      <c r="AX118" t="str">
        <f t="shared" si="1"/>
        <v>('SIMPSON', 'LAWANA', 'MINISTRY-SUNDAY SERVICE', '1811 ROSEWOOD AVENUE', 'RICHMOND', 'VA', '23220', '(804) 359-8117', '(804) 405-7709', '', '', 'SUN 8:00-9:15AM HU2D, E', '', '', '', '', '', '', '', '', '', '', '', '', '', '', 'MINISTRY', '', 'FALSE', 'FALSE', 'FALSE', 'COVID INACTIVE', '', '', '', '', 'FALSE', '', '', '0', '', '', '', '', '', '', '', '1'),</v>
      </c>
    </row>
    <row r="119" spans="1:50" ht="25.5" x14ac:dyDescent="0.25">
      <c r="A119" s="2">
        <v>1220</v>
      </c>
      <c r="B119" s="3" t="s">
        <v>1086</v>
      </c>
      <c r="C119" s="3" t="s">
        <v>1087</v>
      </c>
      <c r="D119" s="3" t="s">
        <v>1088</v>
      </c>
      <c r="E119" s="3" t="s">
        <v>1089</v>
      </c>
      <c r="F119" s="3" t="s">
        <v>68</v>
      </c>
      <c r="G119" s="3" t="s">
        <v>50</v>
      </c>
      <c r="H119" s="4">
        <v>23805</v>
      </c>
      <c r="I119" s="3" t="s">
        <v>1090</v>
      </c>
      <c r="J119" s="3" t="s">
        <v>52</v>
      </c>
      <c r="K119" s="5" t="s">
        <v>1091</v>
      </c>
      <c r="L119" s="5" t="s">
        <v>1092</v>
      </c>
      <c r="M119" s="3" t="s">
        <v>1085</v>
      </c>
      <c r="N119" s="3" t="s">
        <v>52</v>
      </c>
      <c r="O119" s="3" t="s">
        <v>52</v>
      </c>
      <c r="P119" s="3" t="s">
        <v>52</v>
      </c>
      <c r="Q119" s="3" t="s">
        <v>87</v>
      </c>
      <c r="R119" s="3" t="s">
        <v>52</v>
      </c>
      <c r="S119" s="3" t="s">
        <v>52</v>
      </c>
      <c r="T119" s="3" t="s">
        <v>56</v>
      </c>
      <c r="U119" s="3" t="s">
        <v>57</v>
      </c>
      <c r="V119" s="3" t="s">
        <v>1093</v>
      </c>
      <c r="W119" s="3" t="s">
        <v>52</v>
      </c>
      <c r="X119" s="3" t="s">
        <v>52</v>
      </c>
      <c r="Y119" s="3" t="s">
        <v>52</v>
      </c>
      <c r="Z119" s="3" t="s">
        <v>52</v>
      </c>
      <c r="AA119" s="3" t="s">
        <v>52</v>
      </c>
      <c r="AB119" s="3" t="s">
        <v>59</v>
      </c>
      <c r="AD119" s="7" t="b">
        <v>0</v>
      </c>
      <c r="AE119" s="7" t="b">
        <v>0</v>
      </c>
      <c r="AF119" s="7" t="b">
        <v>0</v>
      </c>
      <c r="AG119" s="3" t="s">
        <v>60</v>
      </c>
      <c r="AH119" s="3" t="s">
        <v>52</v>
      </c>
      <c r="AI119" s="3" t="s">
        <v>52</v>
      </c>
      <c r="AJ119" s="3" t="s">
        <v>52</v>
      </c>
      <c r="AK119" s="3" t="s">
        <v>52</v>
      </c>
      <c r="AL119" s="7" t="b">
        <v>0</v>
      </c>
      <c r="AM119" s="3" t="s">
        <v>248</v>
      </c>
      <c r="AO119" s="2">
        <v>0</v>
      </c>
      <c r="AQ119" s="3" t="s">
        <v>52</v>
      </c>
      <c r="AR119" s="3" t="s">
        <v>52</v>
      </c>
      <c r="AS119" s="3" t="s">
        <v>52</v>
      </c>
      <c r="AT119" s="3" t="s">
        <v>52</v>
      </c>
      <c r="AU119" s="9"/>
      <c r="AV119" s="9"/>
      <c r="AW119" s="9">
        <v>1</v>
      </c>
      <c r="AX119" t="str">
        <f t="shared" si="1"/>
        <v>('SINCLAIR', 'JANELL', 'HEBRON PROGRAM', '1644 SOUTH SYCAMORE STREET', 'PETERSBURG', 'VA', '23805', '(904) 401-1330', '', '6/30/1969', '10/5/2016', '2nd &amp; 4th Tues 7:30pm-9:30pm', '', '', '', 'Degree', '', '', 'Black', 'Female', '223-27-4939', '', '', '', '', '', 'SECULAR', '', 'FALSE', 'FALSE', 'FALSE', 'COVID INACTIVE', '', '', '', '', 'FALSE', 'June', '', '0', '', '', '', '', '', '', '', '1'),</v>
      </c>
    </row>
    <row r="120" spans="1:50" ht="25.5" x14ac:dyDescent="0.25">
      <c r="A120" s="2">
        <v>1359</v>
      </c>
      <c r="B120" s="3" t="s">
        <v>1095</v>
      </c>
      <c r="C120" s="3" t="s">
        <v>1096</v>
      </c>
      <c r="D120" s="3" t="s">
        <v>1097</v>
      </c>
      <c r="E120" s="3" t="s">
        <v>1098</v>
      </c>
      <c r="F120" s="3" t="s">
        <v>222</v>
      </c>
      <c r="G120" s="3" t="s">
        <v>50</v>
      </c>
      <c r="H120" s="4">
        <v>23832</v>
      </c>
      <c r="I120" s="3" t="s">
        <v>1099</v>
      </c>
      <c r="J120" s="3" t="s">
        <v>52</v>
      </c>
      <c r="K120" s="5" t="s">
        <v>1100</v>
      </c>
      <c r="L120" s="5" t="s">
        <v>1101</v>
      </c>
      <c r="M120" s="3" t="s">
        <v>1094</v>
      </c>
      <c r="N120" s="3" t="s">
        <v>52</v>
      </c>
      <c r="O120" s="3" t="s">
        <v>1102</v>
      </c>
      <c r="P120" s="3" t="s">
        <v>52</v>
      </c>
      <c r="Q120" s="3" t="s">
        <v>52</v>
      </c>
      <c r="R120" s="3" t="s">
        <v>52</v>
      </c>
      <c r="S120" s="3" t="s">
        <v>52</v>
      </c>
      <c r="T120" s="3" t="s">
        <v>103</v>
      </c>
      <c r="U120" s="3" t="s">
        <v>89</v>
      </c>
      <c r="V120" s="3" t="s">
        <v>1103</v>
      </c>
      <c r="W120" s="3" t="s">
        <v>52</v>
      </c>
      <c r="X120" s="3" t="s">
        <v>1104</v>
      </c>
      <c r="Y120" s="3" t="s">
        <v>1105</v>
      </c>
      <c r="Z120" s="3" t="s">
        <v>52</v>
      </c>
      <c r="AA120" s="3" t="s">
        <v>52</v>
      </c>
      <c r="AB120" s="3" t="s">
        <v>75</v>
      </c>
      <c r="AD120" s="7" t="b">
        <v>0</v>
      </c>
      <c r="AE120" s="7" t="b">
        <v>0</v>
      </c>
      <c r="AF120" s="7" t="b">
        <v>0</v>
      </c>
      <c r="AG120" s="3" t="s">
        <v>60</v>
      </c>
      <c r="AH120" s="3" t="s">
        <v>52</v>
      </c>
      <c r="AI120" s="3" t="s">
        <v>1106</v>
      </c>
      <c r="AJ120" s="3" t="s">
        <v>160</v>
      </c>
      <c r="AK120" s="3" t="s">
        <v>1107</v>
      </c>
      <c r="AL120" s="7" t="b">
        <v>1</v>
      </c>
      <c r="AM120" s="3" t="s">
        <v>248</v>
      </c>
      <c r="AO120" s="2">
        <v>0</v>
      </c>
      <c r="AQ120" s="3" t="s">
        <v>52</v>
      </c>
      <c r="AR120" s="3" t="s">
        <v>52</v>
      </c>
      <c r="AS120" s="3" t="s">
        <v>52</v>
      </c>
      <c r="AT120" s="3" t="s">
        <v>52</v>
      </c>
      <c r="AU120" s="9"/>
      <c r="AV120" s="9"/>
      <c r="AW120" s="9">
        <v>1</v>
      </c>
      <c r="AX120" t="str">
        <f t="shared" si="1"/>
        <v>('SKAAR', 'STEVEN', 'MINISTRTY-COUNSELOR/ADMIISTRATIVE ASSISTANT', '6324 EAGLE CREST LANE', 'CHESTERFIELD', 'VA', '23832', '(540) 577-0991', '', '6/15/1953', '12/31/2016', 'Thu 2:30-4:30pm HU3A/B/ Mon 2:00-4:00pm', '', 'West End Presbyterian', '', '', '', '', 'White', 'Male', '151-44-3377', '', 'Hopewell', 'Eddie Reed', '', '', 'MINISTRY', '', 'FALSE', 'FALSE', 'FALSE', 'COVID INACTIVE', '', 'Presbyterian', 'ADMINISTRATIVE', 'Monday 10:00am-2:00pm', 'TRUE', 'June', '', '0', '', '', '', '', '', '', '', '1'),</v>
      </c>
    </row>
    <row r="121" spans="1:50" ht="25.5" x14ac:dyDescent="0.25">
      <c r="A121" s="2">
        <v>1360</v>
      </c>
      <c r="B121" s="3" t="s">
        <v>1108</v>
      </c>
      <c r="C121" s="3" t="s">
        <v>1109</v>
      </c>
      <c r="D121" s="3" t="s">
        <v>1110</v>
      </c>
      <c r="E121" s="3" t="s">
        <v>1111</v>
      </c>
      <c r="F121" s="3" t="s">
        <v>222</v>
      </c>
      <c r="G121" s="3" t="s">
        <v>50</v>
      </c>
      <c r="H121" s="4">
        <v>23838</v>
      </c>
      <c r="I121" s="3" t="s">
        <v>1112</v>
      </c>
      <c r="J121" s="3" t="s">
        <v>52</v>
      </c>
      <c r="K121" s="5" t="s">
        <v>1113</v>
      </c>
      <c r="L121" s="5" t="s">
        <v>1114</v>
      </c>
      <c r="M121" s="3" t="s">
        <v>408</v>
      </c>
      <c r="N121" s="3" t="s">
        <v>52</v>
      </c>
      <c r="O121" s="3" t="s">
        <v>416</v>
      </c>
      <c r="P121" s="3" t="s">
        <v>52</v>
      </c>
      <c r="Q121" s="3" t="s">
        <v>52</v>
      </c>
      <c r="R121" s="3" t="s">
        <v>52</v>
      </c>
      <c r="S121" s="3" t="s">
        <v>1115</v>
      </c>
      <c r="T121" s="3" t="s">
        <v>103</v>
      </c>
      <c r="U121" s="3" t="s">
        <v>89</v>
      </c>
      <c r="V121" s="3" t="s">
        <v>1116</v>
      </c>
      <c r="W121" s="3" t="s">
        <v>52</v>
      </c>
      <c r="X121" s="3" t="s">
        <v>52</v>
      </c>
      <c r="Y121" s="3" t="s">
        <v>419</v>
      </c>
      <c r="Z121" s="3" t="s">
        <v>52</v>
      </c>
      <c r="AA121" s="3" t="s">
        <v>52</v>
      </c>
      <c r="AB121" s="3" t="s">
        <v>75</v>
      </c>
      <c r="AD121" s="7" t="b">
        <v>0</v>
      </c>
      <c r="AE121" s="7" t="b">
        <v>0</v>
      </c>
      <c r="AF121" s="7" t="b">
        <v>0</v>
      </c>
      <c r="AG121" s="3" t="s">
        <v>60</v>
      </c>
      <c r="AH121" s="3" t="s">
        <v>52</v>
      </c>
      <c r="AI121" s="3" t="s">
        <v>52</v>
      </c>
      <c r="AJ121" s="3" t="s">
        <v>160</v>
      </c>
      <c r="AK121" s="3" t="s">
        <v>420</v>
      </c>
      <c r="AL121" s="7" t="b">
        <v>1</v>
      </c>
      <c r="AM121" s="3" t="s">
        <v>217</v>
      </c>
      <c r="AO121" s="2">
        <v>0</v>
      </c>
      <c r="AQ121" s="3" t="s">
        <v>52</v>
      </c>
      <c r="AR121" s="3" t="s">
        <v>52</v>
      </c>
      <c r="AS121" s="3" t="s">
        <v>52</v>
      </c>
      <c r="AT121" s="3" t="s">
        <v>52</v>
      </c>
      <c r="AU121" s="9"/>
      <c r="AV121" s="9"/>
      <c r="AW121" s="9">
        <v>1</v>
      </c>
      <c r="AX121" t="str">
        <f t="shared" si="1"/>
        <v>('SMITH', 'CHARLES "BO"', 'MINISTRY-SUNDAY SERVICE/ADMINISTRATIVE ASSISTANT', '14410 BRANDING IRON ROAD', 'CHESTERFIELD', 'VA', '23838', '(804) 739-2009', '', '3/6/1958', '11/16/2017', 'Sun 9:30-10:45am (1st &amp; 5th)-HU2A; Wed 8:00am-2:00pm', '', 'Hope Chapel Four Square', '', '', '', 'cdar@hotmail.com', 'White', 'Male', '231-84-5934', '', '', 'Dave Muckel', '', '', 'MINISTRY', '', 'FALSE', 'FALSE', 'FALSE', 'COVID INACTIVE', '', '', 'ADMINISTRATIVE', 'BIBLE DISTRIBUTION', 'TRUE', 'March', '', '0', '', '', '', '', '', '', '', '1'),</v>
      </c>
    </row>
    <row r="122" spans="1:50" ht="25.5" x14ac:dyDescent="0.25">
      <c r="A122" s="2">
        <v>1361</v>
      </c>
      <c r="B122" s="3" t="s">
        <v>1108</v>
      </c>
      <c r="C122" s="3" t="s">
        <v>1118</v>
      </c>
      <c r="D122" s="3" t="s">
        <v>148</v>
      </c>
      <c r="E122" s="3" t="s">
        <v>1119</v>
      </c>
      <c r="F122" s="3" t="s">
        <v>150</v>
      </c>
      <c r="G122" s="3" t="s">
        <v>50</v>
      </c>
      <c r="H122" s="4">
        <v>23875</v>
      </c>
      <c r="I122" s="3" t="s">
        <v>1120</v>
      </c>
      <c r="J122" s="3" t="s">
        <v>1121</v>
      </c>
      <c r="K122" s="5" t="s">
        <v>1122</v>
      </c>
      <c r="L122" s="5" t="s">
        <v>1123</v>
      </c>
      <c r="M122" s="3" t="s">
        <v>1117</v>
      </c>
      <c r="N122" s="3" t="s">
        <v>52</v>
      </c>
      <c r="O122" s="3" t="s">
        <v>1124</v>
      </c>
      <c r="P122" s="3" t="s">
        <v>52</v>
      </c>
      <c r="Q122" s="3" t="s">
        <v>52</v>
      </c>
      <c r="R122" s="3" t="s">
        <v>52</v>
      </c>
      <c r="S122" s="3" t="s">
        <v>1125</v>
      </c>
      <c r="T122" s="3" t="s">
        <v>56</v>
      </c>
      <c r="U122" s="3" t="s">
        <v>57</v>
      </c>
      <c r="V122" s="3" t="s">
        <v>1126</v>
      </c>
      <c r="W122" s="3" t="s">
        <v>52</v>
      </c>
      <c r="X122" s="3" t="s">
        <v>52</v>
      </c>
      <c r="Y122" s="3" t="s">
        <v>1127</v>
      </c>
      <c r="Z122" s="3" t="s">
        <v>1128</v>
      </c>
      <c r="AA122" s="3" t="s">
        <v>52</v>
      </c>
      <c r="AB122" s="3" t="s">
        <v>75</v>
      </c>
      <c r="AD122" s="7" t="b">
        <v>0</v>
      </c>
      <c r="AE122" s="7" t="b">
        <v>0</v>
      </c>
      <c r="AF122" s="7" t="b">
        <v>0</v>
      </c>
      <c r="AG122" s="3" t="s">
        <v>60</v>
      </c>
      <c r="AH122" s="3" t="s">
        <v>52</v>
      </c>
      <c r="AI122" s="3" t="s">
        <v>1129</v>
      </c>
      <c r="AJ122" s="3" t="s">
        <v>52</v>
      </c>
      <c r="AK122" s="3" t="s">
        <v>52</v>
      </c>
      <c r="AL122" s="7" t="b">
        <v>0</v>
      </c>
      <c r="AM122" s="3" t="s">
        <v>237</v>
      </c>
      <c r="AO122" s="2">
        <v>0</v>
      </c>
      <c r="AQ122" s="3" t="s">
        <v>52</v>
      </c>
      <c r="AR122" s="3" t="s">
        <v>52</v>
      </c>
      <c r="AS122" s="3" t="s">
        <v>1129</v>
      </c>
      <c r="AT122" s="3" t="s">
        <v>52</v>
      </c>
      <c r="AU122" s="9"/>
      <c r="AV122" s="9"/>
      <c r="AW122" s="9">
        <v>1</v>
      </c>
      <c r="AX122" t="str">
        <f t="shared" si="1"/>
        <v>('SMITH', 'DORETHEA', 'MINISTRY-SUNDAY SERVICE', '7540 BROOKSHIRE DRIVE', 'PRINCE GEORGE', 'VA', '23875', '(804) 861-2597', '(804) 731-7630', '1/4/1946', '5/1/2018', '4TH SUN 2:00-3:45PM HU1B', '', 'Faith &amp; Hope Temple COGIC Pentacostal', '', '', '', 'smithd01@aol.com', 'Black', 'Female', '223-60-1423', '', '', 'Dr. Herman Crockett', '(804) 861-3898', '', 'MINISTRY', '', 'FALSE', 'FALSE', 'FALSE', 'COVID INACTIVE', '', 'Pentacostal', '', '', 'FALSE', 'January', '', '0', '', '', '', 'Pentacostal', '', '', '', '1'),</v>
      </c>
    </row>
    <row r="123" spans="1:50" ht="25.5" x14ac:dyDescent="0.25">
      <c r="A123" s="2">
        <v>1198</v>
      </c>
      <c r="B123" s="3" t="s">
        <v>1131</v>
      </c>
      <c r="C123" s="3" t="s">
        <v>1132</v>
      </c>
      <c r="D123" s="3" t="s">
        <v>96</v>
      </c>
      <c r="E123" s="3" t="s">
        <v>1133</v>
      </c>
      <c r="F123" s="3" t="s">
        <v>68</v>
      </c>
      <c r="G123" s="3" t="s">
        <v>50</v>
      </c>
      <c r="H123" s="4">
        <v>23803</v>
      </c>
      <c r="I123" s="3" t="s">
        <v>1134</v>
      </c>
      <c r="J123" s="3" t="s">
        <v>52</v>
      </c>
      <c r="K123" s="5" t="s">
        <v>1135</v>
      </c>
      <c r="L123" s="5" t="s">
        <v>1136</v>
      </c>
      <c r="M123" s="3" t="s">
        <v>1130</v>
      </c>
      <c r="N123" s="3" t="s">
        <v>52</v>
      </c>
      <c r="O123" s="3" t="s">
        <v>52</v>
      </c>
      <c r="P123" s="3" t="s">
        <v>52</v>
      </c>
      <c r="Q123" s="3" t="s">
        <v>102</v>
      </c>
      <c r="R123" s="3" t="s">
        <v>52</v>
      </c>
      <c r="S123" s="3" t="s">
        <v>52</v>
      </c>
      <c r="T123" s="3" t="s">
        <v>56</v>
      </c>
      <c r="U123" s="3" t="s">
        <v>89</v>
      </c>
      <c r="V123" s="3" t="s">
        <v>1137</v>
      </c>
      <c r="W123" s="3" t="s">
        <v>52</v>
      </c>
      <c r="X123" s="3" t="s">
        <v>52</v>
      </c>
      <c r="Y123" s="3" t="s">
        <v>52</v>
      </c>
      <c r="Z123" s="3" t="s">
        <v>52</v>
      </c>
      <c r="AA123" s="3" t="s">
        <v>52</v>
      </c>
      <c r="AB123" s="3" t="s">
        <v>59</v>
      </c>
      <c r="AD123" s="7" t="b">
        <v>0</v>
      </c>
      <c r="AE123" s="7" t="b">
        <v>0</v>
      </c>
      <c r="AF123" s="7" t="b">
        <v>0</v>
      </c>
      <c r="AG123" s="3" t="s">
        <v>60</v>
      </c>
      <c r="AH123" s="3" t="s">
        <v>52</v>
      </c>
      <c r="AI123" s="3" t="s">
        <v>52</v>
      </c>
      <c r="AJ123" s="3" t="s">
        <v>52</v>
      </c>
      <c r="AK123" s="3" t="s">
        <v>52</v>
      </c>
      <c r="AL123" s="7" t="b">
        <v>0</v>
      </c>
      <c r="AM123" s="3" t="s">
        <v>248</v>
      </c>
      <c r="AO123" s="2">
        <v>261</v>
      </c>
      <c r="AQ123" s="3" t="s">
        <v>76</v>
      </c>
      <c r="AR123" s="3" t="s">
        <v>77</v>
      </c>
      <c r="AS123" s="3" t="s">
        <v>52</v>
      </c>
      <c r="AT123" s="3" t="s">
        <v>52</v>
      </c>
      <c r="AU123" s="9"/>
      <c r="AV123" s="9"/>
      <c r="AW123" s="9">
        <v>1</v>
      </c>
      <c r="AX123" t="str">
        <f t="shared" si="1"/>
        <v>('SOMERS', 'HOWARD', 'NA MEETINGS', '8 EASTOVER AVENUE', 'PETERSBURG', 'VA', '23803', '(804) 590-4448', '', '6/16/1959', '7/20/2016', 'Wed 7:30pm-8:30pm or 2nd &amp; 4th Sun 7:30pm-8:30pm', '', '', '', 'Life Experiences', '', '', 'Black', 'Male', '153-52-7965', '', '', '', '', '', 'SECULAR', '', 'FALSE', 'FALSE', 'FALSE', 'COVID INACTIVE', '', '', '', '', 'FALSE', 'June', '', '261', '', 'Main Jail', 'HU6', '', '', '', '', '1'),</v>
      </c>
    </row>
    <row r="124" spans="1:50" ht="38.25" x14ac:dyDescent="0.25">
      <c r="A124" s="2">
        <v>1362</v>
      </c>
      <c r="B124" s="3" t="s">
        <v>1139</v>
      </c>
      <c r="C124" s="3" t="s">
        <v>1140</v>
      </c>
      <c r="D124" s="3" t="s">
        <v>107</v>
      </c>
      <c r="E124" s="3" t="s">
        <v>1141</v>
      </c>
      <c r="F124" s="3" t="s">
        <v>150</v>
      </c>
      <c r="G124" s="3" t="s">
        <v>50</v>
      </c>
      <c r="H124" s="4">
        <v>23875</v>
      </c>
      <c r="I124" s="3" t="s">
        <v>52</v>
      </c>
      <c r="J124" s="3" t="s">
        <v>1142</v>
      </c>
      <c r="K124" s="5" t="s">
        <v>52</v>
      </c>
      <c r="L124" s="5" t="s">
        <v>52</v>
      </c>
      <c r="M124" s="3" t="s">
        <v>1138</v>
      </c>
      <c r="N124" s="3" t="s">
        <v>52</v>
      </c>
      <c r="O124" s="3" t="s">
        <v>52</v>
      </c>
      <c r="P124" s="3" t="s">
        <v>52</v>
      </c>
      <c r="Q124" s="3" t="s">
        <v>52</v>
      </c>
      <c r="R124" s="3" t="s">
        <v>52</v>
      </c>
      <c r="S124" s="3" t="s">
        <v>1143</v>
      </c>
      <c r="T124" s="3" t="s">
        <v>56</v>
      </c>
      <c r="U124" s="3" t="s">
        <v>89</v>
      </c>
      <c r="V124" s="3" t="s">
        <v>52</v>
      </c>
      <c r="W124" s="3" t="s">
        <v>52</v>
      </c>
      <c r="X124" s="3" t="s">
        <v>52</v>
      </c>
      <c r="Y124" s="3" t="s">
        <v>52</v>
      </c>
      <c r="Z124" s="3" t="s">
        <v>52</v>
      </c>
      <c r="AA124" s="3" t="s">
        <v>52</v>
      </c>
      <c r="AB124" s="3" t="s">
        <v>75</v>
      </c>
      <c r="AD124" s="7" t="b">
        <v>0</v>
      </c>
      <c r="AE124" s="7" t="b">
        <v>0</v>
      </c>
      <c r="AF124" s="7" t="b">
        <v>0</v>
      </c>
      <c r="AG124" s="3" t="s">
        <v>60</v>
      </c>
      <c r="AH124" s="3" t="s">
        <v>52</v>
      </c>
      <c r="AI124" s="3" t="s">
        <v>52</v>
      </c>
      <c r="AJ124" s="3" t="s">
        <v>226</v>
      </c>
      <c r="AK124" s="3" t="s">
        <v>1144</v>
      </c>
      <c r="AL124" s="7" t="b">
        <v>1</v>
      </c>
      <c r="AM124" s="3" t="s">
        <v>52</v>
      </c>
      <c r="AO124" s="2">
        <v>0</v>
      </c>
      <c r="AQ124" s="3" t="s">
        <v>52</v>
      </c>
      <c r="AR124" s="3" t="s">
        <v>52</v>
      </c>
      <c r="AS124" s="3" t="s">
        <v>52</v>
      </c>
      <c r="AT124" s="3" t="s">
        <v>52</v>
      </c>
      <c r="AU124" s="9"/>
      <c r="AV124" s="9"/>
      <c r="AW124" s="9">
        <v>1</v>
      </c>
      <c r="AX124" t="str">
        <f t="shared" si="1"/>
        <v>('SQUIRE', 'ELLIS', 'MINISTRY-COUNSELING', '7650 HUNTERS RIDGE DRIVE', 'PRINCE GEORGE', 'VA', '23875', '', '(804) 712-4000', '', '', 'Tue &amp; Sat  9:00-11:00amHU2D, E', '', '', '', '', '', 'faithwok@yahoo.com', 'Black', 'Male', '', '', '', '', '', '', 'MINISTRY', '', 'FALSE', 'FALSE', 'FALSE', 'COVID INACTIVE', '', '', 'ON CALL', 'Tuesday &amp; Saturday 0900-1400 hours', 'TRUE', '', '', '0', '', '', '', '', '', '', '', '1'),</v>
      </c>
    </row>
    <row r="125" spans="1:50" ht="25.5" x14ac:dyDescent="0.25">
      <c r="A125" s="2">
        <v>1363</v>
      </c>
      <c r="B125" s="3" t="s">
        <v>1145</v>
      </c>
      <c r="C125" s="3" t="s">
        <v>1146</v>
      </c>
      <c r="D125" s="3" t="s">
        <v>1147</v>
      </c>
      <c r="E125" s="3" t="s">
        <v>1148</v>
      </c>
      <c r="F125" s="3" t="s">
        <v>619</v>
      </c>
      <c r="G125" s="3" t="s">
        <v>50</v>
      </c>
      <c r="H125" s="4">
        <v>23112</v>
      </c>
      <c r="I125" s="3" t="s">
        <v>1149</v>
      </c>
      <c r="J125" s="3" t="s">
        <v>1149</v>
      </c>
      <c r="K125" s="5" t="s">
        <v>52</v>
      </c>
      <c r="L125" s="5" t="s">
        <v>52</v>
      </c>
      <c r="M125" s="3" t="s">
        <v>78</v>
      </c>
      <c r="N125" s="3" t="s">
        <v>52</v>
      </c>
      <c r="O125" s="3" t="s">
        <v>52</v>
      </c>
      <c r="P125" s="3" t="s">
        <v>52</v>
      </c>
      <c r="Q125" s="3" t="s">
        <v>52</v>
      </c>
      <c r="R125" s="3" t="s">
        <v>52</v>
      </c>
      <c r="S125" s="3" t="s">
        <v>52</v>
      </c>
      <c r="T125" s="3" t="s">
        <v>52</v>
      </c>
      <c r="U125" s="3" t="s">
        <v>52</v>
      </c>
      <c r="V125" s="3" t="s">
        <v>52</v>
      </c>
      <c r="W125" s="3" t="s">
        <v>52</v>
      </c>
      <c r="X125" s="3" t="s">
        <v>52</v>
      </c>
      <c r="Y125" s="3" t="s">
        <v>52</v>
      </c>
      <c r="Z125" s="3" t="s">
        <v>52</v>
      </c>
      <c r="AA125" s="3" t="s">
        <v>52</v>
      </c>
      <c r="AB125" s="3" t="s">
        <v>75</v>
      </c>
      <c r="AD125" s="7" t="b">
        <v>0</v>
      </c>
      <c r="AE125" s="7" t="b">
        <v>0</v>
      </c>
      <c r="AF125" s="7" t="b">
        <v>0</v>
      </c>
      <c r="AG125" s="3" t="s">
        <v>60</v>
      </c>
      <c r="AH125" s="3" t="s">
        <v>52</v>
      </c>
      <c r="AI125" s="3" t="s">
        <v>52</v>
      </c>
      <c r="AJ125" s="3" t="s">
        <v>52</v>
      </c>
      <c r="AK125" s="3" t="s">
        <v>52</v>
      </c>
      <c r="AL125" s="7" t="b">
        <v>0</v>
      </c>
      <c r="AM125" s="3" t="s">
        <v>52</v>
      </c>
      <c r="AO125" s="2">
        <v>0</v>
      </c>
      <c r="AQ125" s="3" t="s">
        <v>52</v>
      </c>
      <c r="AR125" s="3" t="s">
        <v>52</v>
      </c>
      <c r="AS125" s="3"/>
      <c r="AT125" s="3" t="s">
        <v>52</v>
      </c>
      <c r="AU125" s="9"/>
      <c r="AV125" s="9"/>
      <c r="AW125" s="9">
        <v>1</v>
      </c>
      <c r="AX125" t="str">
        <f t="shared" si="1"/>
        <v>('SWICEGOOD', 'BEN', 'MINISTRY-', '13800 TURTLE HILL ROAD', 'MIDLOTHIAN', 'VA', '23112', '(804) 878-8844', '(804) 878-8844', '', '', 'Varies', '', '', '', '', '', '', '', '', '', '', '', '', '', '', 'MINISTRY', '', 'FALSE', 'FALSE', 'FALSE', 'COVID INACTIVE', '', '', '', '', 'FALSE', '', '', '0', '', '', '', '', '', '', '', '1'),</v>
      </c>
    </row>
    <row r="126" spans="1:50" ht="25.5" x14ac:dyDescent="0.25">
      <c r="A126" s="2">
        <v>1158</v>
      </c>
      <c r="B126" s="3" t="s">
        <v>1150</v>
      </c>
      <c r="C126" s="3" t="s">
        <v>1151</v>
      </c>
      <c r="D126" s="10" t="s">
        <v>1322</v>
      </c>
      <c r="E126" s="3" t="s">
        <v>1152</v>
      </c>
      <c r="F126" s="3" t="s">
        <v>49</v>
      </c>
      <c r="G126" s="3" t="s">
        <v>50</v>
      </c>
      <c r="H126" s="4">
        <v>23227</v>
      </c>
      <c r="I126" s="3" t="s">
        <v>1153</v>
      </c>
      <c r="J126" s="3" t="s">
        <v>52</v>
      </c>
      <c r="K126" s="5" t="s">
        <v>1154</v>
      </c>
      <c r="L126" s="5" t="s">
        <v>1155</v>
      </c>
      <c r="M126" s="3" t="s">
        <v>78</v>
      </c>
      <c r="N126" s="3" t="s">
        <v>52</v>
      </c>
      <c r="O126" s="3" t="s">
        <v>52</v>
      </c>
      <c r="P126" s="3" t="s">
        <v>52</v>
      </c>
      <c r="Q126" s="3" t="s">
        <v>73</v>
      </c>
      <c r="R126" s="3" t="s">
        <v>52</v>
      </c>
      <c r="S126" s="3" t="s">
        <v>1156</v>
      </c>
      <c r="T126" s="3" t="s">
        <v>56</v>
      </c>
      <c r="U126" s="3" t="s">
        <v>89</v>
      </c>
      <c r="V126" s="3" t="s">
        <v>1157</v>
      </c>
      <c r="W126" s="3" t="s">
        <v>52</v>
      </c>
      <c r="X126" s="3" t="s">
        <v>52</v>
      </c>
      <c r="Y126" s="3" t="s">
        <v>52</v>
      </c>
      <c r="Z126" s="3" t="s">
        <v>52</v>
      </c>
      <c r="AA126" s="3" t="s">
        <v>52</v>
      </c>
      <c r="AB126" s="3" t="s">
        <v>59</v>
      </c>
      <c r="AD126" s="7" t="b">
        <v>1</v>
      </c>
      <c r="AE126" s="7" t="b">
        <v>0</v>
      </c>
      <c r="AF126" s="7" t="b">
        <v>0</v>
      </c>
      <c r="AG126" s="3" t="s">
        <v>60</v>
      </c>
      <c r="AH126" s="3" t="s">
        <v>52</v>
      </c>
      <c r="AI126" s="3" t="s">
        <v>1158</v>
      </c>
      <c r="AJ126" s="3" t="s">
        <v>52</v>
      </c>
      <c r="AK126" s="3" t="s">
        <v>52</v>
      </c>
      <c r="AL126" s="7" t="b">
        <v>0</v>
      </c>
      <c r="AM126" s="3" t="s">
        <v>379</v>
      </c>
      <c r="AO126" s="2">
        <v>227</v>
      </c>
      <c r="AQ126" s="3" t="s">
        <v>76</v>
      </c>
      <c r="AR126" s="3" t="s">
        <v>77</v>
      </c>
      <c r="AS126" s="3" t="s">
        <v>52</v>
      </c>
      <c r="AT126" s="3" t="s">
        <v>52</v>
      </c>
      <c r="AU126" s="9"/>
      <c r="AV126" s="9"/>
      <c r="AW126" s="9">
        <v>1</v>
      </c>
      <c r="AX126" t="str">
        <f t="shared" si="1"/>
        <v>('TAYLOR', 'STANLEY', 'HIV-HEP C TESTING COUNSELOR', '3505 CHAMBERLAYNE AVENUE', 'RICHMOND', 'VA', '23227', '(804) 647-1540', '', '9/5/1947', '8/19/2015', 'Varies', '', '', '', 'Letter of Recommendation', '', 'stanley@mhcprevents.org', 'Black', 'Male', '225-60-4316', '', '', '', '', '', 'SECULAR', '', 'TRUE', 'FALSE', 'FALSE', 'COVID INACTIVE', '', 'HIV Testing Counselor', '', '', 'FALSE', 'September', '', '227', '', 'Main Jail', 'HU6', '', '', '', '', '1'),</v>
      </c>
    </row>
    <row r="127" spans="1:50" ht="25.5" x14ac:dyDescent="0.25">
      <c r="A127" s="2">
        <v>1187</v>
      </c>
      <c r="B127" s="3" t="s">
        <v>1150</v>
      </c>
      <c r="C127" s="3" t="s">
        <v>1160</v>
      </c>
      <c r="D127" s="3" t="s">
        <v>122</v>
      </c>
      <c r="E127" s="3" t="s">
        <v>1161</v>
      </c>
      <c r="F127" s="3" t="s">
        <v>124</v>
      </c>
      <c r="G127" s="3" t="s">
        <v>50</v>
      </c>
      <c r="H127" s="4">
        <v>23831</v>
      </c>
      <c r="I127" s="3" t="s">
        <v>1162</v>
      </c>
      <c r="J127" s="3" t="s">
        <v>52</v>
      </c>
      <c r="K127" s="5" t="s">
        <v>1163</v>
      </c>
      <c r="L127" s="5" t="s">
        <v>1164</v>
      </c>
      <c r="M127" s="3" t="s">
        <v>1159</v>
      </c>
      <c r="N127" s="3" t="s">
        <v>52</v>
      </c>
      <c r="O127" s="3" t="s">
        <v>52</v>
      </c>
      <c r="P127" s="3" t="s">
        <v>52</v>
      </c>
      <c r="Q127" s="3" t="s">
        <v>102</v>
      </c>
      <c r="R127" s="3" t="s">
        <v>52</v>
      </c>
      <c r="S127" s="3" t="s">
        <v>52</v>
      </c>
      <c r="T127" s="3" t="s">
        <v>103</v>
      </c>
      <c r="U127" s="3" t="s">
        <v>57</v>
      </c>
      <c r="V127" s="3" t="s">
        <v>1165</v>
      </c>
      <c r="W127" s="3" t="s">
        <v>52</v>
      </c>
      <c r="X127" s="3" t="s">
        <v>52</v>
      </c>
      <c r="Y127" s="3" t="s">
        <v>52</v>
      </c>
      <c r="Z127" s="3" t="s">
        <v>52</v>
      </c>
      <c r="AA127" s="3" t="s">
        <v>52</v>
      </c>
      <c r="AB127" s="3" t="s">
        <v>59</v>
      </c>
      <c r="AD127" s="7" t="b">
        <v>0</v>
      </c>
      <c r="AE127" s="7" t="b">
        <v>0</v>
      </c>
      <c r="AF127" s="7" t="b">
        <v>0</v>
      </c>
      <c r="AG127" s="3" t="s">
        <v>60</v>
      </c>
      <c r="AH127" s="3" t="s">
        <v>52</v>
      </c>
      <c r="AI127" s="3" t="s">
        <v>52</v>
      </c>
      <c r="AJ127" s="3" t="s">
        <v>52</v>
      </c>
      <c r="AK127" s="3" t="s">
        <v>52</v>
      </c>
      <c r="AL127" s="7" t="b">
        <v>0</v>
      </c>
      <c r="AM127" s="3" t="s">
        <v>217</v>
      </c>
      <c r="AO127" s="2">
        <v>251</v>
      </c>
      <c r="AQ127" s="3" t="s">
        <v>52</v>
      </c>
      <c r="AR127" s="3" t="s">
        <v>52</v>
      </c>
      <c r="AS127" s="3" t="s">
        <v>52</v>
      </c>
      <c r="AT127" s="3" t="s">
        <v>52</v>
      </c>
      <c r="AU127" s="9"/>
      <c r="AV127" s="9"/>
      <c r="AW127" s="9">
        <v>1</v>
      </c>
      <c r="AX127" t="str">
        <f t="shared" si="1"/>
        <v>('TAYLOR', 'LOUCINDA', 'AA MEETINGS', '13304 SHERRI DRIVE', 'CHESTER', 'VA', '23831', '(804) 777-9676', '', '3/19/1961', '3/30/2016', '2nd Sat 8:00am-9:00am', '', '', '', 'Life Experiences', '', '', 'White', 'Female', '538-76-1238', '', '', '', '', '', 'SECULAR', '', 'FALSE', 'FALSE', 'FALSE', 'COVID INACTIVE', '', '', '', '', 'FALSE', 'March', '', '251', '', '', '', '', '', '', '', '1'),</v>
      </c>
    </row>
    <row r="128" spans="1:50" ht="25.5" x14ac:dyDescent="0.25">
      <c r="A128" s="2">
        <v>1191</v>
      </c>
      <c r="B128" s="3" t="s">
        <v>1150</v>
      </c>
      <c r="C128" s="3" t="s">
        <v>1167</v>
      </c>
      <c r="D128" s="3" t="s">
        <v>1168</v>
      </c>
      <c r="E128" s="3" t="s">
        <v>1169</v>
      </c>
      <c r="F128" s="3" t="s">
        <v>157</v>
      </c>
      <c r="G128" s="3" t="s">
        <v>50</v>
      </c>
      <c r="H128" s="4">
        <v>23860</v>
      </c>
      <c r="I128" s="3" t="s">
        <v>1170</v>
      </c>
      <c r="J128" s="3" t="s">
        <v>52</v>
      </c>
      <c r="K128" s="5" t="s">
        <v>1171</v>
      </c>
      <c r="L128" s="5" t="s">
        <v>1172</v>
      </c>
      <c r="M128" s="3" t="s">
        <v>1166</v>
      </c>
      <c r="N128" s="3" t="s">
        <v>52</v>
      </c>
      <c r="O128" s="3" t="s">
        <v>52</v>
      </c>
      <c r="P128" s="3" t="s">
        <v>52</v>
      </c>
      <c r="Q128" s="3" t="s">
        <v>87</v>
      </c>
      <c r="R128" s="3" t="s">
        <v>52</v>
      </c>
      <c r="S128" s="3" t="s">
        <v>52</v>
      </c>
      <c r="T128" s="3" t="s">
        <v>56</v>
      </c>
      <c r="U128" s="3" t="s">
        <v>57</v>
      </c>
      <c r="V128" s="3" t="s">
        <v>1173</v>
      </c>
      <c r="W128" s="3" t="s">
        <v>52</v>
      </c>
      <c r="X128" s="3" t="s">
        <v>52</v>
      </c>
      <c r="Y128" s="3" t="s">
        <v>52</v>
      </c>
      <c r="Z128" s="3" t="s">
        <v>52</v>
      </c>
      <c r="AA128" s="3" t="s">
        <v>52</v>
      </c>
      <c r="AB128" s="3" t="s">
        <v>59</v>
      </c>
      <c r="AD128" s="7" t="b">
        <v>0</v>
      </c>
      <c r="AE128" s="7" t="b">
        <v>0</v>
      </c>
      <c r="AF128" s="7" t="b">
        <v>0</v>
      </c>
      <c r="AG128" s="3" t="s">
        <v>60</v>
      </c>
      <c r="AH128" s="3" t="s">
        <v>52</v>
      </c>
      <c r="AI128" s="3" t="s">
        <v>52</v>
      </c>
      <c r="AJ128" s="3" t="s">
        <v>52</v>
      </c>
      <c r="AK128" s="3" t="s">
        <v>52</v>
      </c>
      <c r="AL128" s="7" t="b">
        <v>0</v>
      </c>
      <c r="AM128" s="3" t="s">
        <v>217</v>
      </c>
      <c r="AO128" s="2">
        <v>0</v>
      </c>
      <c r="AQ128" s="3" t="s">
        <v>76</v>
      </c>
      <c r="AR128" s="3" t="s">
        <v>77</v>
      </c>
      <c r="AS128" s="3" t="s">
        <v>52</v>
      </c>
      <c r="AT128" s="3" t="s">
        <v>52</v>
      </c>
      <c r="AU128" s="9"/>
      <c r="AV128" s="9"/>
      <c r="AW128" s="9">
        <v>1</v>
      </c>
      <c r="AX128" t="str">
        <f t="shared" si="1"/>
        <v>('TAYLOR', 'GERTRUDE', 'COLLEGE BOUND APPLICATION', '4315 RUFFIN ROAD', 'NORTH PRINCE GEORGE', 'VA', '23860', '(804) 218-2714', '', '3/24/1957', '1/15/2015', '2nd or 3rd or 4th  Tue 8:30am-4:30pm', '', '', '', 'Degree', '', '', 'Black', 'Female', '228-98-1148', '', '', '', '', '', 'SECULAR', '', 'FALSE', 'FALSE', 'FALSE', 'COVID INACTIVE', '', '', '', '', 'FALSE', 'March', '', '0', '', 'Main Jail', 'HU6', '', '', '', '', '1'),</v>
      </c>
    </row>
    <row r="129" spans="1:50" ht="25.5" x14ac:dyDescent="0.25">
      <c r="A129" s="2">
        <v>1280</v>
      </c>
      <c r="B129" s="3" t="s">
        <v>1150</v>
      </c>
      <c r="C129" s="3" t="s">
        <v>1175</v>
      </c>
      <c r="D129" s="3" t="s">
        <v>1176</v>
      </c>
      <c r="E129" s="3" t="s">
        <v>1177</v>
      </c>
      <c r="F129" s="3" t="s">
        <v>1178</v>
      </c>
      <c r="G129" s="3" t="s">
        <v>50</v>
      </c>
      <c r="H129" s="4">
        <v>23930</v>
      </c>
      <c r="I129" s="3" t="s">
        <v>1179</v>
      </c>
      <c r="J129" s="3" t="s">
        <v>52</v>
      </c>
      <c r="K129" s="5" t="s">
        <v>1180</v>
      </c>
      <c r="L129" s="5" t="s">
        <v>1181</v>
      </c>
      <c r="M129" s="3" t="s">
        <v>1174</v>
      </c>
      <c r="N129" s="3" t="s">
        <v>52</v>
      </c>
      <c r="O129" s="3" t="s">
        <v>52</v>
      </c>
      <c r="P129" s="3" t="s">
        <v>52</v>
      </c>
      <c r="Q129" s="3" t="s">
        <v>52</v>
      </c>
      <c r="R129" s="3" t="s">
        <v>52</v>
      </c>
      <c r="S129" s="3" t="s">
        <v>1182</v>
      </c>
      <c r="T129" s="3" t="s">
        <v>56</v>
      </c>
      <c r="U129" s="3" t="s">
        <v>57</v>
      </c>
      <c r="V129" s="3" t="s">
        <v>1183</v>
      </c>
      <c r="W129" s="3" t="s">
        <v>52</v>
      </c>
      <c r="X129" s="3" t="s">
        <v>52</v>
      </c>
      <c r="Y129" s="3" t="s">
        <v>52</v>
      </c>
      <c r="Z129" s="3" t="s">
        <v>52</v>
      </c>
      <c r="AA129" s="3" t="s">
        <v>52</v>
      </c>
      <c r="AB129" s="3" t="s">
        <v>59</v>
      </c>
      <c r="AD129" s="7" t="b">
        <v>0</v>
      </c>
      <c r="AE129" s="7" t="b">
        <v>0</v>
      </c>
      <c r="AF129" s="7" t="b">
        <v>0</v>
      </c>
      <c r="AG129" s="3" t="s">
        <v>60</v>
      </c>
      <c r="AH129" s="3" t="s">
        <v>52</v>
      </c>
      <c r="AI129" s="3" t="s">
        <v>52</v>
      </c>
      <c r="AJ129" s="3" t="s">
        <v>52</v>
      </c>
      <c r="AK129" s="3" t="s">
        <v>52</v>
      </c>
      <c r="AL129" s="7" t="b">
        <v>0</v>
      </c>
      <c r="AM129" s="3" t="s">
        <v>440</v>
      </c>
      <c r="AO129" s="2">
        <v>0</v>
      </c>
      <c r="AQ129" s="3" t="s">
        <v>52</v>
      </c>
      <c r="AR129" s="3" t="s">
        <v>52</v>
      </c>
      <c r="AS129" s="3" t="s">
        <v>52</v>
      </c>
      <c r="AT129" s="3" t="s">
        <v>52</v>
      </c>
      <c r="AU129" s="9"/>
      <c r="AV129" s="9"/>
      <c r="AW129" s="9">
        <v>1</v>
      </c>
      <c r="AX129" t="str">
        <f t="shared" si="1"/>
        <v>('TAYLOR', 'AUDREY', 'REENTRY PROGRAMS', '2056 ROCKY FORD ROAD', 'CREWE', 'VA', '23930', '(434) 294-7424', '', '2/4/1952', '5/21/2019', '1st &amp; 2nd or 3rd &amp; 4th Thursday 9:00am-10:30am', '', '', '', '', '', 'ataylor@capup.org', 'Black', 'Female', '228-76-1128', '', '', '', '', '', 'SECULAR', '', 'FALSE', 'FALSE', 'FALSE', 'COVID INACTIVE', '', '', '', '', 'FALSE', 'February', '', '0', '', '', '', '', '', '', '', '1'),</v>
      </c>
    </row>
    <row r="130" spans="1:50" ht="25.5" x14ac:dyDescent="0.25">
      <c r="A130" s="2">
        <v>1364</v>
      </c>
      <c r="B130" s="3" t="s">
        <v>1150</v>
      </c>
      <c r="C130" s="3" t="s">
        <v>1184</v>
      </c>
      <c r="D130" s="3" t="s">
        <v>1185</v>
      </c>
      <c r="E130" s="3" t="s">
        <v>1186</v>
      </c>
      <c r="F130" s="3" t="s">
        <v>68</v>
      </c>
      <c r="G130" s="3" t="s">
        <v>50</v>
      </c>
      <c r="H130" s="4">
        <v>23805</v>
      </c>
      <c r="I130" s="3" t="s">
        <v>754</v>
      </c>
      <c r="J130" s="3" t="s">
        <v>1187</v>
      </c>
      <c r="K130" s="5" t="s">
        <v>1188</v>
      </c>
      <c r="L130" s="5" t="s">
        <v>1189</v>
      </c>
      <c r="M130" s="3" t="s">
        <v>78</v>
      </c>
      <c r="N130" s="3" t="s">
        <v>52</v>
      </c>
      <c r="O130" s="3" t="s">
        <v>1190</v>
      </c>
      <c r="P130" s="3" t="s">
        <v>52</v>
      </c>
      <c r="Q130" s="3" t="s">
        <v>52</v>
      </c>
      <c r="R130" s="3" t="s">
        <v>52</v>
      </c>
      <c r="S130" s="3" t="s">
        <v>1191</v>
      </c>
      <c r="T130" s="3" t="s">
        <v>103</v>
      </c>
      <c r="U130" s="3" t="s">
        <v>57</v>
      </c>
      <c r="V130" s="3" t="s">
        <v>1192</v>
      </c>
      <c r="W130" s="3" t="s">
        <v>52</v>
      </c>
      <c r="X130" s="3" t="s">
        <v>1193</v>
      </c>
      <c r="Y130" s="3" t="s">
        <v>1194</v>
      </c>
      <c r="Z130" s="3" t="s">
        <v>1195</v>
      </c>
      <c r="AA130" s="3" t="s">
        <v>52</v>
      </c>
      <c r="AB130" s="3" t="s">
        <v>75</v>
      </c>
      <c r="AD130" s="7" t="b">
        <v>0</v>
      </c>
      <c r="AE130" s="7" t="b">
        <v>0</v>
      </c>
      <c r="AF130" s="7" t="b">
        <v>0</v>
      </c>
      <c r="AG130" s="3" t="s">
        <v>60</v>
      </c>
      <c r="AH130" s="3" t="s">
        <v>52</v>
      </c>
      <c r="AI130" s="3" t="s">
        <v>52</v>
      </c>
      <c r="AJ130" s="3" t="s">
        <v>52</v>
      </c>
      <c r="AK130" s="3" t="s">
        <v>52</v>
      </c>
      <c r="AL130" s="7" t="b">
        <v>0</v>
      </c>
      <c r="AM130" s="3" t="s">
        <v>62</v>
      </c>
      <c r="AO130" s="2">
        <v>0</v>
      </c>
      <c r="AQ130" s="3" t="s">
        <v>52</v>
      </c>
      <c r="AR130" s="3" t="s">
        <v>52</v>
      </c>
      <c r="AS130" s="3" t="s">
        <v>52</v>
      </c>
      <c r="AT130" s="3" t="s">
        <v>52</v>
      </c>
      <c r="AU130" s="9"/>
      <c r="AV130" s="9"/>
      <c r="AW130" s="9">
        <v>1</v>
      </c>
      <c r="AX130" t="str">
        <f t="shared" si="1"/>
        <v>('TAYLOR', 'SHIRLEY', 'MINISTRY-SUNDAY SERVICE ALTERNATE', '528 OAK HILL ROAD', 'PETERSBURG', 'VA', '23805', '(804) 861-2601', '(804) 318-0086', '8/18/1949', '4/23/2017', 'Varies', '', 'First Baptist', '', '', '', 'catdog4u2@aol.com', 'White', 'Female', '227-72-6197', '', 'Petersburg', 'Dr. Jeremiah Tillman', '(804) 732-2841', '', 'MINISTRY', '', 'FALSE', 'FALSE', 'FALSE', 'COVID INACTIVE', '', '', '', '', 'FALSE', 'August', '', '0', '', '', '', '', '', '', '', '1'),</v>
      </c>
    </row>
    <row r="131" spans="1:50" ht="38.25" x14ac:dyDescent="0.25">
      <c r="A131" s="2">
        <v>1365</v>
      </c>
      <c r="B131" s="3" t="s">
        <v>317</v>
      </c>
      <c r="C131" s="3" t="s">
        <v>1197</v>
      </c>
      <c r="D131" s="3" t="s">
        <v>148</v>
      </c>
      <c r="E131" s="3" t="s">
        <v>1198</v>
      </c>
      <c r="F131" s="3" t="s">
        <v>314</v>
      </c>
      <c r="G131" s="3" t="s">
        <v>50</v>
      </c>
      <c r="H131" s="4">
        <v>23834</v>
      </c>
      <c r="I131" s="3" t="s">
        <v>1199</v>
      </c>
      <c r="J131" s="3" t="s">
        <v>52</v>
      </c>
      <c r="K131" s="5" t="s">
        <v>1200</v>
      </c>
      <c r="L131" s="5" t="s">
        <v>840</v>
      </c>
      <c r="M131" s="3" t="s">
        <v>1196</v>
      </c>
      <c r="N131" s="3" t="s">
        <v>52</v>
      </c>
      <c r="O131" s="3" t="s">
        <v>1201</v>
      </c>
      <c r="P131" s="3" t="s">
        <v>52</v>
      </c>
      <c r="Q131" s="3" t="s">
        <v>52</v>
      </c>
      <c r="R131" s="3" t="s">
        <v>52</v>
      </c>
      <c r="S131" s="3" t="s">
        <v>1202</v>
      </c>
      <c r="T131" s="3" t="s">
        <v>103</v>
      </c>
      <c r="U131" s="3" t="s">
        <v>89</v>
      </c>
      <c r="V131" s="3" t="s">
        <v>1203</v>
      </c>
      <c r="W131" s="3" t="s">
        <v>52</v>
      </c>
      <c r="X131" s="3" t="s">
        <v>52</v>
      </c>
      <c r="Y131" s="3" t="s">
        <v>1204</v>
      </c>
      <c r="Z131" s="3" t="s">
        <v>1205</v>
      </c>
      <c r="AA131" s="3" t="s">
        <v>52</v>
      </c>
      <c r="AB131" s="3" t="s">
        <v>75</v>
      </c>
      <c r="AD131" s="7" t="b">
        <v>0</v>
      </c>
      <c r="AE131" s="7" t="b">
        <v>0</v>
      </c>
      <c r="AF131" s="7" t="b">
        <v>0</v>
      </c>
      <c r="AG131" s="3" t="s">
        <v>60</v>
      </c>
      <c r="AH131" s="3" t="s">
        <v>52</v>
      </c>
      <c r="AI131" s="3" t="s">
        <v>490</v>
      </c>
      <c r="AJ131" s="3" t="s">
        <v>52</v>
      </c>
      <c r="AK131" s="3" t="s">
        <v>52</v>
      </c>
      <c r="AL131" s="7" t="b">
        <v>0</v>
      </c>
      <c r="AM131" s="3" t="s">
        <v>217</v>
      </c>
      <c r="AO131" s="2">
        <v>0</v>
      </c>
      <c r="AQ131" s="3" t="s">
        <v>52</v>
      </c>
      <c r="AR131" s="3" t="s">
        <v>52</v>
      </c>
      <c r="AS131" s="3" t="s">
        <v>52</v>
      </c>
      <c r="AT131" s="3" t="s">
        <v>52</v>
      </c>
      <c r="AU131" s="9"/>
      <c r="AV131" s="9"/>
      <c r="AW131" s="9">
        <v>1</v>
      </c>
      <c r="AX131" t="str">
        <f t="shared" ref="AX131:AX145" si="2">CONCATENATE("('", B131, "', '", C131, "', '", D131, "', '", E131, "', '", F131, "', '", G131, "', '", H131, "', '", I131, "', '", J131, "', '", K131, "', '", L131, "', '", M131, "', '", N131, "', '", O131, "', '", P131, "', '", Q131, "', '", R131, "', '", S131, "', '", T131, "', '", U131, "', '", V131, "', '", W131, "', '", X131, "', '", Y131, "', '", Z131, "', '", AA131, "', '", AB131, "', '", AC131, "', '", AD131, "', '", AE131, "', '", AF131, "', '", AG131, "', '", AH131, "', '", AI131, "', '", AJ131, "', '", AK131, "', '", AL131, "', '", AM131, "', '", AN131, "', '", AO131, "', '", AP131, "', '", AQ131, "', '", AR131, "', '", AS131, "', '", AT131,  "', '", AU131,  "', '", AV131, "', '", AW131,"'),")</f>
        <v>('THOMAS', 'RANDY', 'MINISTRY-SUNDAY SERVICE', '540 ROSYLN AVENUE', 'COLONIAL HEIGHTS', 'VA', '23834', '(804) 943-2297', '', '3/27/1961', '2/28/2017', '4TH SUN 8:00-9:15AM HU3A, C, D; 9:30-10:45AM HU3B, E, 1CC, MH MALES', '', 'Second Chance Baptist', '', '', '', 'silverfox540@comcast.net', 'White', 'Male', '225-98-3382', '', '', 'Davis Prather', '(804) 720-3421', '', 'MINISTRY', '', 'FALSE', 'FALSE', 'FALSE', 'COVID INACTIVE', '', 'Baptist', '', '', 'FALSE', 'March', '', '0', '', '', '', '', '', '', '', '1'),</v>
      </c>
    </row>
    <row r="132" spans="1:50" ht="25.5" x14ac:dyDescent="0.25">
      <c r="A132" s="2">
        <v>1366</v>
      </c>
      <c r="B132" s="3" t="s">
        <v>1206</v>
      </c>
      <c r="C132" s="3" t="s">
        <v>1207</v>
      </c>
      <c r="D132" s="3" t="s">
        <v>66</v>
      </c>
      <c r="E132" s="3" t="s">
        <v>1208</v>
      </c>
      <c r="F132" s="3" t="s">
        <v>124</v>
      </c>
      <c r="G132" s="3" t="s">
        <v>50</v>
      </c>
      <c r="H132" s="4">
        <v>23831</v>
      </c>
      <c r="I132" s="3" t="s">
        <v>1209</v>
      </c>
      <c r="J132" s="3" t="s">
        <v>1209</v>
      </c>
      <c r="K132" s="5" t="s">
        <v>52</v>
      </c>
      <c r="L132" s="5" t="s">
        <v>52</v>
      </c>
      <c r="M132" s="3" t="s">
        <v>78</v>
      </c>
      <c r="N132" s="3" t="s">
        <v>52</v>
      </c>
      <c r="O132" s="3" t="s">
        <v>52</v>
      </c>
      <c r="P132" s="3" t="s">
        <v>52</v>
      </c>
      <c r="Q132" s="3" t="s">
        <v>52</v>
      </c>
      <c r="R132" s="3" t="s">
        <v>52</v>
      </c>
      <c r="S132" s="3" t="s">
        <v>52</v>
      </c>
      <c r="T132" s="3" t="s">
        <v>103</v>
      </c>
      <c r="U132" s="3" t="s">
        <v>57</v>
      </c>
      <c r="V132" s="3" t="s">
        <v>52</v>
      </c>
      <c r="W132" s="3" t="s">
        <v>52</v>
      </c>
      <c r="X132" s="3" t="s">
        <v>52</v>
      </c>
      <c r="Y132" s="3" t="s">
        <v>52</v>
      </c>
      <c r="Z132" s="3" t="s">
        <v>52</v>
      </c>
      <c r="AA132" s="3" t="s">
        <v>52</v>
      </c>
      <c r="AB132" s="3" t="s">
        <v>75</v>
      </c>
      <c r="AD132" s="7" t="b">
        <v>0</v>
      </c>
      <c r="AE132" s="7" t="b">
        <v>0</v>
      </c>
      <c r="AF132" s="7" t="b">
        <v>0</v>
      </c>
      <c r="AG132" s="3" t="s">
        <v>60</v>
      </c>
      <c r="AH132" s="3" t="s">
        <v>52</v>
      </c>
      <c r="AI132" s="3" t="s">
        <v>52</v>
      </c>
      <c r="AJ132" s="3" t="s">
        <v>52</v>
      </c>
      <c r="AK132" s="3" t="s">
        <v>52</v>
      </c>
      <c r="AL132" s="7" t="b">
        <v>0</v>
      </c>
      <c r="AM132" s="3" t="s">
        <v>52</v>
      </c>
      <c r="AO132" s="2">
        <v>0</v>
      </c>
      <c r="AQ132" s="3" t="s">
        <v>52</v>
      </c>
      <c r="AR132" s="3" t="s">
        <v>52</v>
      </c>
      <c r="AS132" s="3" t="s">
        <v>52</v>
      </c>
      <c r="AT132" s="3" t="s">
        <v>52</v>
      </c>
      <c r="AU132" s="9"/>
      <c r="AV132" s="9"/>
      <c r="AW132" s="9">
        <v>1</v>
      </c>
      <c r="AX132" t="str">
        <f t="shared" si="2"/>
        <v>('THOMPSON', 'CONSTANCE', 'MINISTRY-BIBLE STUDY', '14214 THRUSHWOOD COURT', 'CHESTER', 'VA', '23831', '(804) 398-0176', '(804) 398-0176', '', '', 'Varies', '', '', '', '', '', '', 'White', 'Female', '', '', '', '', '', '', 'MINISTRY', '', 'FALSE', 'FALSE', 'FALSE', 'COVID INACTIVE', '', '', '', '', 'FALSE', '', '', '0', '', '', '', '', '', '', '', '1'),</v>
      </c>
    </row>
    <row r="133" spans="1:50" ht="25.5" x14ac:dyDescent="0.25">
      <c r="A133" s="2">
        <v>1367</v>
      </c>
      <c r="B133" s="3" t="s">
        <v>1206</v>
      </c>
      <c r="C133" s="3" t="s">
        <v>1210</v>
      </c>
      <c r="D133" s="3" t="s">
        <v>148</v>
      </c>
      <c r="E133" s="3" t="s">
        <v>1211</v>
      </c>
      <c r="F133" s="3" t="s">
        <v>619</v>
      </c>
      <c r="G133" s="3" t="s">
        <v>50</v>
      </c>
      <c r="H133" s="4">
        <v>23114</v>
      </c>
      <c r="I133" s="3" t="s">
        <v>1212</v>
      </c>
      <c r="J133" s="3" t="s">
        <v>1212</v>
      </c>
      <c r="K133" s="5" t="s">
        <v>52</v>
      </c>
      <c r="L133" s="5" t="s">
        <v>52</v>
      </c>
      <c r="M133" s="3" t="s">
        <v>656</v>
      </c>
      <c r="N133" s="3" t="s">
        <v>52</v>
      </c>
      <c r="O133" s="3" t="s">
        <v>52</v>
      </c>
      <c r="P133" s="3" t="s">
        <v>52</v>
      </c>
      <c r="Q133" s="3" t="s">
        <v>52</v>
      </c>
      <c r="R133" s="3" t="s">
        <v>52</v>
      </c>
      <c r="S133" s="3" t="s">
        <v>52</v>
      </c>
      <c r="T133" s="3" t="s">
        <v>52</v>
      </c>
      <c r="U133" s="3" t="s">
        <v>52</v>
      </c>
      <c r="V133" s="3" t="s">
        <v>52</v>
      </c>
      <c r="W133" s="3" t="s">
        <v>52</v>
      </c>
      <c r="X133" s="3" t="s">
        <v>52</v>
      </c>
      <c r="Y133" s="3" t="s">
        <v>52</v>
      </c>
      <c r="Z133" s="3" t="s">
        <v>52</v>
      </c>
      <c r="AA133" s="3" t="s">
        <v>52</v>
      </c>
      <c r="AB133" s="3" t="s">
        <v>75</v>
      </c>
      <c r="AD133" s="7" t="b">
        <v>0</v>
      </c>
      <c r="AE133" s="7" t="b">
        <v>0</v>
      </c>
      <c r="AF133" s="7" t="b">
        <v>0</v>
      </c>
      <c r="AG133" s="3" t="s">
        <v>60</v>
      </c>
      <c r="AH133" s="3" t="s">
        <v>52</v>
      </c>
      <c r="AI133" s="3" t="s">
        <v>52</v>
      </c>
      <c r="AJ133" s="3" t="s">
        <v>52</v>
      </c>
      <c r="AK133" s="3" t="s">
        <v>52</v>
      </c>
      <c r="AL133" s="7" t="b">
        <v>0</v>
      </c>
      <c r="AM133" s="3" t="s">
        <v>52</v>
      </c>
      <c r="AO133" s="2">
        <v>0</v>
      </c>
      <c r="AQ133" s="3" t="s">
        <v>52</v>
      </c>
      <c r="AR133" s="3" t="s">
        <v>52</v>
      </c>
      <c r="AS133" s="3" t="s">
        <v>52</v>
      </c>
      <c r="AT133" s="3" t="s">
        <v>52</v>
      </c>
      <c r="AU133" s="9"/>
      <c r="AV133" s="9"/>
      <c r="AW133" s="9">
        <v>1</v>
      </c>
      <c r="AX133" t="str">
        <f t="shared" si="2"/>
        <v>('THOMPSON', 'DREMA', 'MINISTRY-SUNDAY SERVICE', '1413 BANTRY TERRACE', 'MIDLOTHIAN', 'VA', '23114', '(804) 253-7507', '(804) 253-7507', '', '', '2ND SUN 8:00-9:15AM HU1A; 9:30-10:45AM HU1CB/MH FEMALES', '', '', '', '', '', '', '', '', '', '', '', '', '', '', 'MINISTRY', '', 'FALSE', 'FALSE', 'FALSE', 'COVID INACTIVE', '', '', '', '', 'FALSE', '', '', '0', '', '', '', '', '', '', '', '1'),</v>
      </c>
    </row>
    <row r="134" spans="1:50" ht="25.5" x14ac:dyDescent="0.25">
      <c r="A134" s="2">
        <v>1368</v>
      </c>
      <c r="B134" s="3" t="s">
        <v>1206</v>
      </c>
      <c r="C134" s="3" t="s">
        <v>1213</v>
      </c>
      <c r="D134" s="3" t="s">
        <v>892</v>
      </c>
      <c r="E134" s="3" t="s">
        <v>1211</v>
      </c>
      <c r="F134" s="3" t="s">
        <v>619</v>
      </c>
      <c r="G134" s="3" t="s">
        <v>50</v>
      </c>
      <c r="H134" s="4">
        <v>23114</v>
      </c>
      <c r="I134" s="3" t="s">
        <v>1214</v>
      </c>
      <c r="J134" s="3" t="s">
        <v>1214</v>
      </c>
      <c r="K134" s="5" t="s">
        <v>52</v>
      </c>
      <c r="L134" s="5" t="s">
        <v>52</v>
      </c>
      <c r="M134" s="3" t="s">
        <v>656</v>
      </c>
      <c r="N134" s="3" t="s">
        <v>52</v>
      </c>
      <c r="O134" s="3" t="s">
        <v>52</v>
      </c>
      <c r="P134" s="3" t="s">
        <v>52</v>
      </c>
      <c r="Q134" s="3" t="s">
        <v>52</v>
      </c>
      <c r="R134" s="3" t="s">
        <v>52</v>
      </c>
      <c r="S134" s="3" t="s">
        <v>52</v>
      </c>
      <c r="T134" s="3" t="s">
        <v>52</v>
      </c>
      <c r="U134" s="3" t="s">
        <v>52</v>
      </c>
      <c r="V134" s="3" t="s">
        <v>52</v>
      </c>
      <c r="W134" s="3" t="s">
        <v>52</v>
      </c>
      <c r="X134" s="3" t="s">
        <v>52</v>
      </c>
      <c r="Y134" s="3" t="s">
        <v>52</v>
      </c>
      <c r="Z134" s="3" t="s">
        <v>52</v>
      </c>
      <c r="AA134" s="3" t="s">
        <v>52</v>
      </c>
      <c r="AB134" s="3" t="s">
        <v>75</v>
      </c>
      <c r="AD134" s="7" t="b">
        <v>0</v>
      </c>
      <c r="AE134" s="7" t="b">
        <v>0</v>
      </c>
      <c r="AF134" s="7" t="b">
        <v>0</v>
      </c>
      <c r="AG134" s="3" t="s">
        <v>60</v>
      </c>
      <c r="AH134" s="3" t="s">
        <v>52</v>
      </c>
      <c r="AI134" s="3" t="s">
        <v>52</v>
      </c>
      <c r="AJ134" s="3" t="s">
        <v>52</v>
      </c>
      <c r="AK134" s="3" t="s">
        <v>52</v>
      </c>
      <c r="AL134" s="7" t="b">
        <v>0</v>
      </c>
      <c r="AM134" s="3" t="s">
        <v>52</v>
      </c>
      <c r="AO134" s="2">
        <v>0</v>
      </c>
      <c r="AQ134" s="3" t="s">
        <v>52</v>
      </c>
      <c r="AR134" s="3" t="s">
        <v>52</v>
      </c>
      <c r="AS134" s="3" t="s">
        <v>52</v>
      </c>
      <c r="AT134" s="3" t="s">
        <v>52</v>
      </c>
      <c r="AU134" s="9"/>
      <c r="AV134" s="9"/>
      <c r="AW134" s="9">
        <v>1</v>
      </c>
      <c r="AX134" t="str">
        <f t="shared" si="2"/>
        <v>('THOMPSON', 'KARL', 'MINSTRY-SUNDAY SERVICE', '1413 BANTRY TERRACE', 'MIDLOTHIAN', 'VA', '23114', '(804) 564-0525', '(804) 564-0525', '', '', '2ND SUN 8:00-9:15AM HU1A; 9:30-10:45AM HU1CB/MH FEMALES', '', '', '', '', '', '', '', '', '', '', '', '', '', '', 'MINISTRY', '', 'FALSE', 'FALSE', 'FALSE', 'COVID INACTIVE', '', '', '', '', 'FALSE', '', '', '0', '', '', '', '', '', '', '', '1'),</v>
      </c>
    </row>
    <row r="135" spans="1:50" ht="25.5" x14ac:dyDescent="0.25">
      <c r="A135" s="2">
        <v>1119</v>
      </c>
      <c r="B135" s="3" t="s">
        <v>1216</v>
      </c>
      <c r="C135" s="3" t="s">
        <v>1217</v>
      </c>
      <c r="D135" s="3" t="s">
        <v>96</v>
      </c>
      <c r="E135" s="3" t="s">
        <v>1218</v>
      </c>
      <c r="F135" s="3" t="s">
        <v>282</v>
      </c>
      <c r="G135" s="3" t="s">
        <v>50</v>
      </c>
      <c r="H135" s="4">
        <v>23860</v>
      </c>
      <c r="I135" s="3" t="s">
        <v>1219</v>
      </c>
      <c r="J135" s="3" t="s">
        <v>52</v>
      </c>
      <c r="K135" s="5" t="s">
        <v>1220</v>
      </c>
      <c r="L135" s="5" t="s">
        <v>1221</v>
      </c>
      <c r="M135" s="3" t="s">
        <v>1215</v>
      </c>
      <c r="N135" s="3" t="s">
        <v>52</v>
      </c>
      <c r="O135" s="3" t="s">
        <v>52</v>
      </c>
      <c r="P135" s="3" t="s">
        <v>52</v>
      </c>
      <c r="Q135" s="3" t="s">
        <v>102</v>
      </c>
      <c r="R135" s="3" t="s">
        <v>52</v>
      </c>
      <c r="S135" s="3" t="s">
        <v>1222</v>
      </c>
      <c r="T135" s="3" t="s">
        <v>56</v>
      </c>
      <c r="U135" s="3" t="s">
        <v>89</v>
      </c>
      <c r="V135" s="3" t="s">
        <v>1223</v>
      </c>
      <c r="W135" s="3" t="s">
        <v>52</v>
      </c>
      <c r="X135" s="3" t="s">
        <v>52</v>
      </c>
      <c r="Y135" s="3" t="s">
        <v>52</v>
      </c>
      <c r="Z135" s="3" t="s">
        <v>52</v>
      </c>
      <c r="AA135" s="3" t="s">
        <v>52</v>
      </c>
      <c r="AB135" s="3" t="s">
        <v>59</v>
      </c>
      <c r="AD135" s="7" t="b">
        <v>0</v>
      </c>
      <c r="AE135" s="7" t="b">
        <v>0</v>
      </c>
      <c r="AF135" s="7" t="b">
        <v>0</v>
      </c>
      <c r="AG135" s="3" t="s">
        <v>60</v>
      </c>
      <c r="AH135" s="3" t="s">
        <v>52</v>
      </c>
      <c r="AI135" s="3" t="s">
        <v>52</v>
      </c>
      <c r="AJ135" s="3" t="s">
        <v>52</v>
      </c>
      <c r="AK135" s="3" t="s">
        <v>52</v>
      </c>
      <c r="AL135" s="7" t="b">
        <v>0</v>
      </c>
      <c r="AM135" s="3" t="s">
        <v>131</v>
      </c>
      <c r="AO135" s="2">
        <v>221</v>
      </c>
      <c r="AQ135" s="3" t="s">
        <v>76</v>
      </c>
      <c r="AR135" s="3" t="s">
        <v>77</v>
      </c>
      <c r="AS135" s="3" t="s">
        <v>52</v>
      </c>
      <c r="AT135" s="3" t="s">
        <v>52</v>
      </c>
      <c r="AU135" s="9"/>
      <c r="AV135" s="9"/>
      <c r="AW135" s="9">
        <v>1</v>
      </c>
      <c r="AX135" t="str">
        <f t="shared" si="2"/>
        <v>('TOWNES Jr.', 'HERBERT', 'NA MEETINGS', '1208 SUNNYSIDE AVE', 'HOPEWELL', 'VA', '23860', '(804) 668-8471', '', '5/17/1957', '12/16/2014', 'Wed 7:30pm-8;30pm', '', '', '', 'Life Experiences', '', 'herbertf1957@gmail.com', 'Black', 'Male', '228-92-9240', '', '', '', '', '', 'SECULAR', '', 'FALSE', 'FALSE', 'FALSE', 'COVID INACTIVE', '', '', '', '', 'FALSE', 'May', '', '221', '', 'Main Jail', 'HU6', '', '', '', '', '1'),</v>
      </c>
    </row>
    <row r="136" spans="1:50" ht="25.5" x14ac:dyDescent="0.25">
      <c r="A136" s="2">
        <v>1235</v>
      </c>
      <c r="B136" s="3" t="s">
        <v>1225</v>
      </c>
      <c r="C136" s="3" t="s">
        <v>1226</v>
      </c>
      <c r="D136" s="3" t="s">
        <v>1227</v>
      </c>
      <c r="E136" s="3" t="s">
        <v>1228</v>
      </c>
      <c r="F136" s="3" t="s">
        <v>314</v>
      </c>
      <c r="G136" s="3" t="s">
        <v>50</v>
      </c>
      <c r="H136" s="4">
        <v>23834</v>
      </c>
      <c r="I136" s="3" t="s">
        <v>1229</v>
      </c>
      <c r="J136" s="3" t="s">
        <v>1230</v>
      </c>
      <c r="K136" s="5" t="s">
        <v>1231</v>
      </c>
      <c r="L136" s="5" t="s">
        <v>1232</v>
      </c>
      <c r="M136" s="3" t="s">
        <v>1224</v>
      </c>
      <c r="N136" s="3" t="s">
        <v>52</v>
      </c>
      <c r="O136" s="3" t="s">
        <v>52</v>
      </c>
      <c r="P136" s="3" t="s">
        <v>52</v>
      </c>
      <c r="Q136" s="3" t="s">
        <v>685</v>
      </c>
      <c r="R136" s="3" t="s">
        <v>52</v>
      </c>
      <c r="S136" s="3" t="s">
        <v>52</v>
      </c>
      <c r="T136" s="3" t="s">
        <v>56</v>
      </c>
      <c r="U136" s="3" t="s">
        <v>57</v>
      </c>
      <c r="V136" s="3" t="s">
        <v>1233</v>
      </c>
      <c r="W136" s="3" t="s">
        <v>52</v>
      </c>
      <c r="X136" s="3" t="s">
        <v>52</v>
      </c>
      <c r="Y136" s="3" t="s">
        <v>52</v>
      </c>
      <c r="Z136" s="3" t="s">
        <v>52</v>
      </c>
      <c r="AA136" s="3" t="s">
        <v>52</v>
      </c>
      <c r="AB136" s="3" t="s">
        <v>59</v>
      </c>
      <c r="AD136" s="7" t="b">
        <v>1</v>
      </c>
      <c r="AE136" s="7" t="b">
        <v>0</v>
      </c>
      <c r="AF136" s="7" t="b">
        <v>0</v>
      </c>
      <c r="AG136" s="3" t="s">
        <v>60</v>
      </c>
      <c r="AH136" s="3" t="s">
        <v>52</v>
      </c>
      <c r="AI136" s="3" t="s">
        <v>52</v>
      </c>
      <c r="AJ136" s="3" t="s">
        <v>52</v>
      </c>
      <c r="AK136" s="3" t="s">
        <v>52</v>
      </c>
      <c r="AL136" s="7" t="b">
        <v>0</v>
      </c>
      <c r="AM136" s="3" t="s">
        <v>62</v>
      </c>
      <c r="AO136" s="2">
        <v>0</v>
      </c>
      <c r="AQ136" s="3" t="s">
        <v>76</v>
      </c>
      <c r="AR136" s="3" t="s">
        <v>77</v>
      </c>
      <c r="AS136" s="3" t="s">
        <v>52</v>
      </c>
      <c r="AT136" s="3" t="s">
        <v>52</v>
      </c>
      <c r="AU136" s="9"/>
      <c r="AV136" s="9"/>
      <c r="AW136" s="9">
        <v>1</v>
      </c>
      <c r="AX136" t="str">
        <f t="shared" si="2"/>
        <v>('TYLER', 'ROBIN', 'CENTRAL VIRGINIA HEALTH SERVICES SEMINAR', '109 LAKEVIEW PARK ROAD', 'COLONIAL HEIGHTS', 'VA', '23834', '(804) 895-3052', '(804) 704-3044', '8/28/1971', '6/13/2017', '4th Thurs 2:00pm--4:00pm', '', '', '', 'License', '', '', 'Black', 'Female', '231-37-8015', '', '', '', '', '', 'SECULAR', '', 'TRUE', 'FALSE', 'FALSE', 'COVID INACTIVE', '', '', '', '', 'FALSE', 'August', '', '0', '', 'Main Jail', 'HU6', '', '', '', '', '1'),</v>
      </c>
    </row>
    <row r="137" spans="1:50" ht="38.25" x14ac:dyDescent="0.25">
      <c r="A137" s="2">
        <v>1369</v>
      </c>
      <c r="B137" s="3" t="s">
        <v>1235</v>
      </c>
      <c r="C137" s="3" t="s">
        <v>1236</v>
      </c>
      <c r="D137" s="3" t="s">
        <v>148</v>
      </c>
      <c r="E137" s="3" t="s">
        <v>1237</v>
      </c>
      <c r="F137" s="3" t="s">
        <v>49</v>
      </c>
      <c r="G137" s="3" t="s">
        <v>50</v>
      </c>
      <c r="H137" s="4">
        <v>23231</v>
      </c>
      <c r="I137" s="3" t="s">
        <v>1238</v>
      </c>
      <c r="J137" s="3" t="s">
        <v>52</v>
      </c>
      <c r="K137" s="5" t="s">
        <v>1239</v>
      </c>
      <c r="L137" s="5" t="s">
        <v>1240</v>
      </c>
      <c r="M137" s="3" t="s">
        <v>1234</v>
      </c>
      <c r="N137" s="3" t="s">
        <v>52</v>
      </c>
      <c r="O137" s="3" t="s">
        <v>52</v>
      </c>
      <c r="P137" s="3" t="s">
        <v>52</v>
      </c>
      <c r="Q137" s="3" t="s">
        <v>52</v>
      </c>
      <c r="R137" s="3" t="s">
        <v>52</v>
      </c>
      <c r="S137" s="3" t="s">
        <v>1241</v>
      </c>
      <c r="T137" s="3" t="s">
        <v>56</v>
      </c>
      <c r="U137" s="3" t="s">
        <v>89</v>
      </c>
      <c r="V137" s="3" t="s">
        <v>1242</v>
      </c>
      <c r="W137" s="3" t="s">
        <v>52</v>
      </c>
      <c r="X137" s="3" t="s">
        <v>52</v>
      </c>
      <c r="Y137" s="3" t="s">
        <v>52</v>
      </c>
      <c r="Z137" s="3" t="s">
        <v>52</v>
      </c>
      <c r="AA137" s="3" t="s">
        <v>52</v>
      </c>
      <c r="AB137" s="3" t="s">
        <v>75</v>
      </c>
      <c r="AD137" s="7" t="b">
        <v>0</v>
      </c>
      <c r="AE137" s="7" t="b">
        <v>0</v>
      </c>
      <c r="AF137" s="7" t="b">
        <v>0</v>
      </c>
      <c r="AG137" s="3" t="s">
        <v>60</v>
      </c>
      <c r="AH137" s="3" t="s">
        <v>52</v>
      </c>
      <c r="AI137" s="3" t="s">
        <v>52</v>
      </c>
      <c r="AJ137" s="3" t="s">
        <v>52</v>
      </c>
      <c r="AK137" s="3" t="s">
        <v>52</v>
      </c>
      <c r="AL137" s="7" t="b">
        <v>0</v>
      </c>
      <c r="AM137" s="3" t="s">
        <v>131</v>
      </c>
      <c r="AO137" s="2">
        <v>0</v>
      </c>
      <c r="AQ137" s="3" t="s">
        <v>52</v>
      </c>
      <c r="AR137" s="3" t="s">
        <v>52</v>
      </c>
      <c r="AS137" s="3" t="s">
        <v>52</v>
      </c>
      <c r="AT137" s="3" t="s">
        <v>52</v>
      </c>
      <c r="AU137" s="9"/>
      <c r="AV137" s="9"/>
      <c r="AW137" s="9">
        <v>1</v>
      </c>
      <c r="AX137" t="str">
        <f t="shared" si="2"/>
        <v>('WARD', 'JESSE', 'MINISTRY-SUNDAY SERVICE', '1633 TREE RIDGE ROAD', 'RICHMOND', 'VA', '23231', '(804) 929-0590', '', '5/23/1957', '11/3/2003', '1ST SUN 8:00-9:15AM HU3A/C/D; 9:30-10:45AM HU3B/E/1CC/MH Men; 11:15am Juveniles', '', '', '', '', '', 'jwardprov35@yahoo.com', 'Black', 'Male', '225-84-2885', '', '', '', '', '', 'MINISTRY', '', 'FALSE', 'FALSE', 'FALSE', 'COVID INACTIVE', '', '', '', '', 'FALSE', 'May', '', '0', '', '', '', '', '', '', '', '1'),</v>
      </c>
    </row>
    <row r="138" spans="1:50" ht="25.5" x14ac:dyDescent="0.25">
      <c r="A138" s="2">
        <v>1221</v>
      </c>
      <c r="B138" s="3" t="s">
        <v>1244</v>
      </c>
      <c r="C138" s="3" t="s">
        <v>1245</v>
      </c>
      <c r="D138" s="3" t="s">
        <v>96</v>
      </c>
      <c r="E138" s="3" t="s">
        <v>1246</v>
      </c>
      <c r="F138" s="3" t="s">
        <v>494</v>
      </c>
      <c r="G138" s="3" t="s">
        <v>50</v>
      </c>
      <c r="H138" s="4">
        <v>23803</v>
      </c>
      <c r="I138" s="3" t="s">
        <v>1247</v>
      </c>
      <c r="J138" s="3" t="s">
        <v>52</v>
      </c>
      <c r="K138" s="5" t="s">
        <v>1248</v>
      </c>
      <c r="L138" s="5" t="s">
        <v>1249</v>
      </c>
      <c r="M138" s="3" t="s">
        <v>1243</v>
      </c>
      <c r="N138" s="3" t="s">
        <v>52</v>
      </c>
      <c r="O138" s="3" t="s">
        <v>52</v>
      </c>
      <c r="P138" s="3" t="s">
        <v>52</v>
      </c>
      <c r="Q138" s="3" t="s">
        <v>102</v>
      </c>
      <c r="R138" s="3" t="s">
        <v>52</v>
      </c>
      <c r="S138" s="3" t="s">
        <v>52</v>
      </c>
      <c r="T138" s="3" t="s">
        <v>56</v>
      </c>
      <c r="U138" s="3" t="s">
        <v>89</v>
      </c>
      <c r="V138" s="3" t="s">
        <v>1250</v>
      </c>
      <c r="W138" s="3" t="s">
        <v>52</v>
      </c>
      <c r="X138" s="3" t="s">
        <v>52</v>
      </c>
      <c r="Y138" s="3" t="s">
        <v>52</v>
      </c>
      <c r="Z138" s="3" t="s">
        <v>52</v>
      </c>
      <c r="AA138" s="3" t="s">
        <v>52</v>
      </c>
      <c r="AB138" s="3" t="s">
        <v>59</v>
      </c>
      <c r="AD138" s="7" t="b">
        <v>1</v>
      </c>
      <c r="AE138" s="7" t="b">
        <v>0</v>
      </c>
      <c r="AF138" s="7" t="b">
        <v>0</v>
      </c>
      <c r="AG138" s="3" t="s">
        <v>60</v>
      </c>
      <c r="AH138" s="3" t="s">
        <v>52</v>
      </c>
      <c r="AI138" s="3" t="s">
        <v>52</v>
      </c>
      <c r="AJ138" s="3" t="s">
        <v>52</v>
      </c>
      <c r="AK138" s="3" t="s">
        <v>52</v>
      </c>
      <c r="AL138" s="7" t="b">
        <v>0</v>
      </c>
      <c r="AM138" s="3" t="s">
        <v>131</v>
      </c>
      <c r="AO138" s="2">
        <v>0</v>
      </c>
      <c r="AQ138" s="3" t="s">
        <v>76</v>
      </c>
      <c r="AR138" s="3" t="s">
        <v>77</v>
      </c>
      <c r="AS138" s="3" t="s">
        <v>52</v>
      </c>
      <c r="AT138" s="3" t="s">
        <v>52</v>
      </c>
      <c r="AU138" s="9"/>
      <c r="AV138" s="9"/>
      <c r="AW138" s="9">
        <v>1</v>
      </c>
      <c r="AX138" t="str">
        <f t="shared" si="2"/>
        <v>('WATERS', 'ROGER', 'NA MEETINGS', '4901 CREEK ROAD', 'NORTH DINWIDDIE', 'VA', '23803', '(804) 895-1609', '', '5/23/1953', '11/9/2016', '1st &amp; 3rd Wed 7:30pm-8:30pm', '', '', '', 'Life Experiences', '', '', 'Black', 'Male', '216-58-0449', '', '', '', '', '', 'SECULAR', '', 'TRUE', 'FALSE', 'FALSE', 'COVID INACTIVE', '', '', '', '', 'FALSE', 'May', '', '0', '', 'Main Jail', 'HU6', '', '', '', '', '1'),</v>
      </c>
    </row>
    <row r="139" spans="1:50" ht="25.5" x14ac:dyDescent="0.25">
      <c r="A139" s="2">
        <v>1385</v>
      </c>
      <c r="B139" s="3" t="s">
        <v>1251</v>
      </c>
      <c r="C139" s="3" t="s">
        <v>1252</v>
      </c>
      <c r="D139" s="3" t="s">
        <v>541</v>
      </c>
      <c r="E139" s="3" t="s">
        <v>1253</v>
      </c>
      <c r="F139" s="3" t="s">
        <v>49</v>
      </c>
      <c r="G139" s="3" t="s">
        <v>50</v>
      </c>
      <c r="H139" s="4">
        <v>23223</v>
      </c>
      <c r="I139" s="3" t="s">
        <v>52</v>
      </c>
      <c r="J139" s="3" t="s">
        <v>1254</v>
      </c>
      <c r="K139" s="5" t="s">
        <v>1255</v>
      </c>
      <c r="L139" s="5" t="s">
        <v>1256</v>
      </c>
      <c r="M139" s="3" t="s">
        <v>477</v>
      </c>
      <c r="N139" s="3" t="s">
        <v>52</v>
      </c>
      <c r="O139" s="3" t="s">
        <v>52</v>
      </c>
      <c r="P139" s="3" t="s">
        <v>52</v>
      </c>
      <c r="Q139" s="3" t="s">
        <v>172</v>
      </c>
      <c r="R139" s="3" t="s">
        <v>52</v>
      </c>
      <c r="S139" s="3" t="s">
        <v>1257</v>
      </c>
      <c r="T139" s="3" t="s">
        <v>56</v>
      </c>
      <c r="U139" s="3" t="s">
        <v>57</v>
      </c>
      <c r="V139" s="3" t="s">
        <v>1258</v>
      </c>
      <c r="W139" s="3" t="s">
        <v>52</v>
      </c>
      <c r="X139" s="3" t="s">
        <v>52</v>
      </c>
      <c r="Y139" s="3" t="s">
        <v>52</v>
      </c>
      <c r="Z139" s="3" t="s">
        <v>52</v>
      </c>
      <c r="AA139" s="3" t="s">
        <v>52</v>
      </c>
      <c r="AB139" s="3" t="s">
        <v>59</v>
      </c>
      <c r="AD139" s="7" t="b">
        <v>0</v>
      </c>
      <c r="AE139" s="7" t="b">
        <v>0</v>
      </c>
      <c r="AF139" s="7" t="b">
        <v>0</v>
      </c>
      <c r="AG139" s="3" t="s">
        <v>91</v>
      </c>
      <c r="AH139" s="3" t="s">
        <v>52</v>
      </c>
      <c r="AI139" s="3" t="s">
        <v>52</v>
      </c>
      <c r="AJ139" s="3" t="s">
        <v>52</v>
      </c>
      <c r="AK139" s="3" t="s">
        <v>52</v>
      </c>
      <c r="AL139" s="7" t="b">
        <v>0</v>
      </c>
      <c r="AM139" s="3" t="s">
        <v>176</v>
      </c>
      <c r="AO139" s="2">
        <v>0</v>
      </c>
      <c r="AQ139" s="3" t="s">
        <v>52</v>
      </c>
      <c r="AR139" s="3" t="s">
        <v>52</v>
      </c>
      <c r="AS139" s="3" t="s">
        <v>52</v>
      </c>
      <c r="AT139" s="3" t="s">
        <v>52</v>
      </c>
      <c r="AU139" s="9"/>
      <c r="AV139" s="9"/>
      <c r="AW139" s="9">
        <v>1</v>
      </c>
      <c r="AX139" t="str">
        <f t="shared" si="2"/>
        <v>('WEBBER', 'TOSHAWN', 'RE-ENTRY WORKFORCE', '1723 ROGERS STREET', 'RICHMOND', 'VA', '23223', '', '(804) 304-3067', '11/24/1971', '3/29/2023', 'Wed 9:00am-3:00pm', '', '', '', 'MOU', '', 'shwanwebber71@yahoo.com', 'Black', 'Female', '231-08-5234', '', '', '', '', '', 'SECULAR', '', 'FALSE', 'FALSE', 'FALSE', 'ACTIVE', '', '', '', '', 'FALSE', 'November', '', '0', '', '', '', '', '', '', '', '1'),</v>
      </c>
    </row>
    <row r="140" spans="1:50" ht="25.5" x14ac:dyDescent="0.25">
      <c r="A140" s="2">
        <v>1370</v>
      </c>
      <c r="B140" s="3" t="s">
        <v>1260</v>
      </c>
      <c r="C140" s="3" t="s">
        <v>1261</v>
      </c>
      <c r="D140" s="3" t="s">
        <v>148</v>
      </c>
      <c r="E140" s="3" t="s">
        <v>1262</v>
      </c>
      <c r="F140" s="3" t="s">
        <v>49</v>
      </c>
      <c r="G140" s="3" t="s">
        <v>50</v>
      </c>
      <c r="H140" s="4">
        <v>23224</v>
      </c>
      <c r="I140" s="3" t="s">
        <v>1263</v>
      </c>
      <c r="J140" s="3" t="s">
        <v>52</v>
      </c>
      <c r="K140" s="5" t="s">
        <v>52</v>
      </c>
      <c r="L140" s="5" t="s">
        <v>52</v>
      </c>
      <c r="M140" s="3" t="s">
        <v>1259</v>
      </c>
      <c r="N140" s="3" t="s">
        <v>52</v>
      </c>
      <c r="O140" s="3" t="s">
        <v>52</v>
      </c>
      <c r="P140" s="3" t="s">
        <v>52</v>
      </c>
      <c r="Q140" s="3" t="s">
        <v>52</v>
      </c>
      <c r="R140" s="3" t="s">
        <v>52</v>
      </c>
      <c r="S140" s="3" t="s">
        <v>52</v>
      </c>
      <c r="T140" s="3" t="s">
        <v>56</v>
      </c>
      <c r="U140" s="3" t="s">
        <v>57</v>
      </c>
      <c r="V140" s="3" t="s">
        <v>52</v>
      </c>
      <c r="W140" s="3" t="s">
        <v>52</v>
      </c>
      <c r="X140" s="3" t="s">
        <v>52</v>
      </c>
      <c r="Y140" s="3" t="s">
        <v>52</v>
      </c>
      <c r="Z140" s="3" t="s">
        <v>52</v>
      </c>
      <c r="AA140" s="3" t="s">
        <v>52</v>
      </c>
      <c r="AB140" s="3" t="s">
        <v>75</v>
      </c>
      <c r="AD140" s="7" t="b">
        <v>0</v>
      </c>
      <c r="AE140" s="7" t="b">
        <v>0</v>
      </c>
      <c r="AF140" s="7" t="b">
        <v>0</v>
      </c>
      <c r="AG140" s="3" t="s">
        <v>60</v>
      </c>
      <c r="AH140" s="3" t="s">
        <v>52</v>
      </c>
      <c r="AI140" s="3" t="s">
        <v>52</v>
      </c>
      <c r="AJ140" s="3" t="s">
        <v>52</v>
      </c>
      <c r="AK140" s="3" t="s">
        <v>52</v>
      </c>
      <c r="AL140" s="7" t="b">
        <v>0</v>
      </c>
      <c r="AM140" s="3" t="s">
        <v>52</v>
      </c>
      <c r="AO140" s="2">
        <v>0</v>
      </c>
      <c r="AQ140" s="3" t="s">
        <v>52</v>
      </c>
      <c r="AR140" s="3" t="s">
        <v>52</v>
      </c>
      <c r="AS140" s="3" t="s">
        <v>52</v>
      </c>
      <c r="AT140" s="3" t="s">
        <v>52</v>
      </c>
      <c r="AU140" s="9"/>
      <c r="AV140" s="9"/>
      <c r="AW140" s="9">
        <v>1</v>
      </c>
      <c r="AX140" t="str">
        <f t="shared" si="2"/>
        <v>('WHISONANT', 'WARLISHA', 'MINISTRY-SUNDAY SERVICE', '10 EAST 36TH STREET', 'RICHMOND', 'VA', '23224', '(804) 283-2182', '', '', '', '1ST SUN ALTERNATE', '', '', '', '', '', '', 'Black', 'Female', '', '', '', '', '', '', 'MINISTRY', '', 'FALSE', 'FALSE', 'FALSE', 'COVID INACTIVE', '', '', '', '', 'FALSE', '', '', '0', '', '', '', '', '', '', '', '1'),</v>
      </c>
    </row>
    <row r="141" spans="1:50" ht="25.5" x14ac:dyDescent="0.25">
      <c r="A141" s="2">
        <v>1371</v>
      </c>
      <c r="B141" s="3" t="s">
        <v>1265</v>
      </c>
      <c r="C141" s="3" t="s">
        <v>1266</v>
      </c>
      <c r="D141" s="3" t="s">
        <v>107</v>
      </c>
      <c r="E141" s="3" t="s">
        <v>1267</v>
      </c>
      <c r="F141" s="3" t="s">
        <v>222</v>
      </c>
      <c r="G141" s="3" t="s">
        <v>50</v>
      </c>
      <c r="H141" s="4">
        <v>23832</v>
      </c>
      <c r="I141" s="3" t="s">
        <v>1263</v>
      </c>
      <c r="J141" s="3" t="s">
        <v>52</v>
      </c>
      <c r="K141" s="5" t="s">
        <v>1268</v>
      </c>
      <c r="L141" s="5" t="s">
        <v>1269</v>
      </c>
      <c r="M141" s="3" t="s">
        <v>1264</v>
      </c>
      <c r="N141" s="3" t="s">
        <v>52</v>
      </c>
      <c r="O141" s="3" t="s">
        <v>841</v>
      </c>
      <c r="P141" s="3" t="s">
        <v>52</v>
      </c>
      <c r="Q141" s="3" t="s">
        <v>52</v>
      </c>
      <c r="R141" s="3" t="s">
        <v>52</v>
      </c>
      <c r="S141" s="3" t="s">
        <v>1270</v>
      </c>
      <c r="T141" s="3" t="s">
        <v>56</v>
      </c>
      <c r="U141" s="3" t="s">
        <v>57</v>
      </c>
      <c r="V141" s="3" t="s">
        <v>1271</v>
      </c>
      <c r="W141" s="3" t="s">
        <v>52</v>
      </c>
      <c r="X141" s="3" t="s">
        <v>52</v>
      </c>
      <c r="Y141" s="3" t="s">
        <v>1272</v>
      </c>
      <c r="Z141" s="3" t="s">
        <v>52</v>
      </c>
      <c r="AA141" s="3" t="s">
        <v>52</v>
      </c>
      <c r="AB141" s="3" t="s">
        <v>75</v>
      </c>
      <c r="AD141" s="7" t="b">
        <v>0</v>
      </c>
      <c r="AE141" s="7" t="b">
        <v>0</v>
      </c>
      <c r="AF141" s="7" t="b">
        <v>0</v>
      </c>
      <c r="AG141" s="3" t="s">
        <v>60</v>
      </c>
      <c r="AH141" s="3" t="s">
        <v>52</v>
      </c>
      <c r="AI141" s="3" t="s">
        <v>1273</v>
      </c>
      <c r="AJ141" s="3" t="s">
        <v>52</v>
      </c>
      <c r="AK141" s="3" t="s">
        <v>52</v>
      </c>
      <c r="AL141" s="7" t="b">
        <v>0</v>
      </c>
      <c r="AM141" s="3" t="s">
        <v>217</v>
      </c>
      <c r="AO141" s="2">
        <v>0</v>
      </c>
      <c r="AQ141" s="3" t="s">
        <v>52</v>
      </c>
      <c r="AR141" s="3" t="s">
        <v>52</v>
      </c>
      <c r="AS141" s="3" t="s">
        <v>1273</v>
      </c>
      <c r="AT141" s="3" t="s">
        <v>52</v>
      </c>
      <c r="AU141" s="9"/>
      <c r="AV141" s="9"/>
      <c r="AW141" s="9">
        <v>1</v>
      </c>
      <c r="AX141" t="str">
        <f t="shared" si="2"/>
        <v>('WHITE', 'CATHY', 'MINISTRY-COUNSELING', '7700 MIDDLEFIELD MEWS', 'CHESTERFIELD', 'VA', '23832', '(804) 283-2182', '', '3/15/1957', '9/15/2014', 'Wed or Fri 8:30-11:00am HU1C FEMALES', '', 'Mt. Gilead Full Gospel', '', '', '', 'honey2within@gmail.com', 'Black', 'Female', '229-84-9487', '', '', 'Daniel Robertson', '', '', 'MINISTRY', '', 'FALSE', 'FALSE', 'FALSE', 'COVID INACTIVE', '', 'Full Gospel', '', '', 'FALSE', 'March', '', '0', '', '', '', 'Full Gospel', '', '', '', '1'),</v>
      </c>
    </row>
    <row r="142" spans="1:50" ht="25.5" x14ac:dyDescent="0.25">
      <c r="A142" s="2">
        <v>1372</v>
      </c>
      <c r="B142" s="3" t="s">
        <v>1275</v>
      </c>
      <c r="C142" s="3" t="s">
        <v>1276</v>
      </c>
      <c r="D142" s="3" t="s">
        <v>107</v>
      </c>
      <c r="E142" s="3" t="s">
        <v>1277</v>
      </c>
      <c r="F142" s="3" t="s">
        <v>558</v>
      </c>
      <c r="G142" s="3" t="s">
        <v>50</v>
      </c>
      <c r="H142" s="4">
        <v>23231</v>
      </c>
      <c r="I142" s="3" t="s">
        <v>1278</v>
      </c>
      <c r="J142" s="3" t="s">
        <v>1279</v>
      </c>
      <c r="K142" s="5" t="s">
        <v>52</v>
      </c>
      <c r="L142" s="5" t="s">
        <v>52</v>
      </c>
      <c r="M142" s="3" t="s">
        <v>1274</v>
      </c>
      <c r="N142" s="3" t="s">
        <v>52</v>
      </c>
      <c r="O142" s="3" t="s">
        <v>52</v>
      </c>
      <c r="P142" s="3" t="s">
        <v>52</v>
      </c>
      <c r="Q142" s="3" t="s">
        <v>52</v>
      </c>
      <c r="R142" s="3" t="s">
        <v>52</v>
      </c>
      <c r="S142" s="3" t="s">
        <v>1280</v>
      </c>
      <c r="T142" s="3" t="s">
        <v>56</v>
      </c>
      <c r="U142" s="3" t="s">
        <v>89</v>
      </c>
      <c r="V142" s="3" t="s">
        <v>52</v>
      </c>
      <c r="W142" s="3" t="s">
        <v>52</v>
      </c>
      <c r="X142" s="3" t="s">
        <v>52</v>
      </c>
      <c r="Y142" s="3" t="s">
        <v>52</v>
      </c>
      <c r="Z142" s="3" t="s">
        <v>52</v>
      </c>
      <c r="AA142" s="3" t="s">
        <v>52</v>
      </c>
      <c r="AB142" s="3" t="s">
        <v>75</v>
      </c>
      <c r="AD142" s="7" t="b">
        <v>0</v>
      </c>
      <c r="AE142" s="7" t="b">
        <v>0</v>
      </c>
      <c r="AF142" s="7" t="b">
        <v>0</v>
      </c>
      <c r="AG142" s="3" t="s">
        <v>60</v>
      </c>
      <c r="AH142" s="3" t="s">
        <v>52</v>
      </c>
      <c r="AI142" s="3" t="s">
        <v>52</v>
      </c>
      <c r="AJ142" s="3" t="s">
        <v>226</v>
      </c>
      <c r="AK142" s="3" t="s">
        <v>1281</v>
      </c>
      <c r="AL142" s="7" t="b">
        <v>1</v>
      </c>
      <c r="AM142" s="3" t="s">
        <v>52</v>
      </c>
      <c r="AO142" s="2">
        <v>0</v>
      </c>
      <c r="AQ142" s="3" t="s">
        <v>52</v>
      </c>
      <c r="AR142" s="3" t="s">
        <v>52</v>
      </c>
      <c r="AS142" s="3" t="s">
        <v>52</v>
      </c>
      <c r="AT142" s="3" t="s">
        <v>52</v>
      </c>
      <c r="AU142" s="9"/>
      <c r="AV142" s="9"/>
      <c r="AW142" s="9">
        <v>1</v>
      </c>
      <c r="AX142" t="str">
        <f t="shared" si="2"/>
        <v>('WHITEHEAD JR.', 'LANGSTON', 'MINISTRY-COUNSELING', '2241 NEW MARKET ROAD', 'HENRICO', 'VA', '23231', '(804) 795-5636', '(804) 318-0057', '', '', 'TUE 9:00-11:00am HU2D, E', '', '', '', '', '', 'whitehead4you@comcast.net', 'Black', 'Male', '', '', '', '', '', '', 'MINISTRY', '', 'FALSE', 'FALSE', 'FALSE', 'COVID INACTIVE', '', '', 'ON CALL', 'Wednesday 9:00-11:00am', 'TRUE', '', '', '0', '', '', '', '', '', '', '', '1'),</v>
      </c>
    </row>
    <row r="143" spans="1:50" ht="25.5" x14ac:dyDescent="0.25">
      <c r="A143" s="2">
        <v>1373</v>
      </c>
      <c r="B143" s="3" t="s">
        <v>1283</v>
      </c>
      <c r="C143" s="3" t="s">
        <v>1284</v>
      </c>
      <c r="D143" s="3" t="s">
        <v>148</v>
      </c>
      <c r="E143" s="3" t="s">
        <v>1285</v>
      </c>
      <c r="F143" s="3" t="s">
        <v>49</v>
      </c>
      <c r="G143" s="3" t="s">
        <v>50</v>
      </c>
      <c r="H143" s="4">
        <v>23227</v>
      </c>
      <c r="I143" s="3" t="s">
        <v>1286</v>
      </c>
      <c r="J143" s="3" t="s">
        <v>52</v>
      </c>
      <c r="K143" s="5" t="s">
        <v>1287</v>
      </c>
      <c r="L143" s="5" t="s">
        <v>1288</v>
      </c>
      <c r="M143" s="3" t="s">
        <v>1282</v>
      </c>
      <c r="N143" s="3" t="s">
        <v>52</v>
      </c>
      <c r="O143" s="3" t="s">
        <v>52</v>
      </c>
      <c r="P143" s="3" t="s">
        <v>52</v>
      </c>
      <c r="Q143" s="3" t="s">
        <v>52</v>
      </c>
      <c r="R143" s="3" t="s">
        <v>52</v>
      </c>
      <c r="S143" s="3" t="s">
        <v>1289</v>
      </c>
      <c r="T143" s="3" t="s">
        <v>56</v>
      </c>
      <c r="U143" s="3" t="s">
        <v>89</v>
      </c>
      <c r="V143" s="3" t="s">
        <v>1290</v>
      </c>
      <c r="W143" s="3" t="s">
        <v>52</v>
      </c>
      <c r="X143" s="3" t="s">
        <v>52</v>
      </c>
      <c r="Y143" s="3" t="s">
        <v>52</v>
      </c>
      <c r="Z143" s="3" t="s">
        <v>52</v>
      </c>
      <c r="AA143" s="3" t="s">
        <v>52</v>
      </c>
      <c r="AB143" s="3" t="s">
        <v>75</v>
      </c>
      <c r="AD143" s="7" t="b">
        <v>0</v>
      </c>
      <c r="AE143" s="7" t="b">
        <v>0</v>
      </c>
      <c r="AF143" s="7" t="b">
        <v>0</v>
      </c>
      <c r="AG143" s="3" t="s">
        <v>60</v>
      </c>
      <c r="AH143" s="3" t="s">
        <v>52</v>
      </c>
      <c r="AI143" s="3" t="s">
        <v>52</v>
      </c>
      <c r="AJ143" s="3" t="s">
        <v>52</v>
      </c>
      <c r="AK143" s="3" t="s">
        <v>52</v>
      </c>
      <c r="AL143" s="7" t="b">
        <v>0</v>
      </c>
      <c r="AM143" s="3" t="s">
        <v>248</v>
      </c>
      <c r="AO143" s="2">
        <v>0</v>
      </c>
      <c r="AQ143" s="3" t="s">
        <v>52</v>
      </c>
      <c r="AR143" s="3" t="s">
        <v>52</v>
      </c>
      <c r="AS143" s="3" t="s">
        <v>52</v>
      </c>
      <c r="AT143" s="3" t="s">
        <v>52</v>
      </c>
      <c r="AU143" s="9"/>
      <c r="AV143" s="9"/>
      <c r="AW143" s="9">
        <v>1</v>
      </c>
      <c r="AX143" t="str">
        <f t="shared" si="2"/>
        <v>('WILLIAMS III', 'ROBERT L.', 'MINISTRY-SUNDAY SERVICE', '401 NORTH WILKINSON ROAD', 'RICHMOND', 'VA', '23227', '(858) 776-5143', '', '6/4/1973', '1/7/2014', '3RD SUN 2:00-3:45PM', '', '', '', '', '', 'lawnrlw@aol.com', 'Black', 'Male', '265-87-5480', '', '', '', '', '', 'MINISTRY', '', 'FALSE', 'FALSE', 'FALSE', 'COVID INACTIVE', '', '', '', '', 'FALSE', 'June', '', '0', '', '', '', '', '', '', '', '1'),</v>
      </c>
    </row>
    <row r="144" spans="1:50" ht="25.5" x14ac:dyDescent="0.25">
      <c r="A144" s="2">
        <v>1388</v>
      </c>
      <c r="B144" s="3" t="s">
        <v>1291</v>
      </c>
      <c r="C144" s="3" t="s">
        <v>964</v>
      </c>
      <c r="D144" s="3" t="s">
        <v>1292</v>
      </c>
      <c r="E144" s="3" t="s">
        <v>1293</v>
      </c>
      <c r="F144" s="3" t="s">
        <v>1294</v>
      </c>
      <c r="G144" s="3" t="s">
        <v>50</v>
      </c>
      <c r="H144" s="4">
        <v>23139</v>
      </c>
      <c r="I144" s="3" t="s">
        <v>1295</v>
      </c>
      <c r="J144" s="3" t="s">
        <v>1295</v>
      </c>
      <c r="K144" s="5" t="s">
        <v>1296</v>
      </c>
      <c r="L144" s="5" t="s">
        <v>1297</v>
      </c>
      <c r="M144" s="3" t="s">
        <v>78</v>
      </c>
      <c r="N144" s="3" t="s">
        <v>52</v>
      </c>
      <c r="O144" s="3" t="s">
        <v>52</v>
      </c>
      <c r="P144" s="3" t="s">
        <v>1298</v>
      </c>
      <c r="Q144" s="3" t="s">
        <v>87</v>
      </c>
      <c r="R144" s="3" t="s">
        <v>52</v>
      </c>
      <c r="S144" s="3" t="s">
        <v>1299</v>
      </c>
      <c r="T144" s="3" t="s">
        <v>103</v>
      </c>
      <c r="U144" s="3" t="s">
        <v>89</v>
      </c>
      <c r="V144" s="3" t="s">
        <v>1300</v>
      </c>
      <c r="W144" s="3" t="s">
        <v>52</v>
      </c>
      <c r="X144" s="3" t="s">
        <v>52</v>
      </c>
      <c r="Y144" s="3" t="s">
        <v>52</v>
      </c>
      <c r="Z144" s="3" t="s">
        <v>52</v>
      </c>
      <c r="AA144" s="3" t="s">
        <v>52</v>
      </c>
      <c r="AB144" s="3" t="s">
        <v>59</v>
      </c>
      <c r="AD144" s="7" t="b">
        <v>0</v>
      </c>
      <c r="AE144" s="7" t="b">
        <v>0</v>
      </c>
      <c r="AF144" s="7" t="b">
        <v>0</v>
      </c>
      <c r="AG144" s="3" t="s">
        <v>91</v>
      </c>
      <c r="AH144" s="3" t="s">
        <v>52</v>
      </c>
      <c r="AI144" s="3" t="s">
        <v>52</v>
      </c>
      <c r="AJ144" s="3" t="s">
        <v>52</v>
      </c>
      <c r="AK144" s="3" t="s">
        <v>52</v>
      </c>
      <c r="AL144" s="7" t="b">
        <v>0</v>
      </c>
      <c r="AM144" s="3" t="s">
        <v>176</v>
      </c>
      <c r="AO144" s="2">
        <v>0</v>
      </c>
      <c r="AP144" s="6">
        <v>44481</v>
      </c>
      <c r="AQ144" s="3" t="s">
        <v>76</v>
      </c>
      <c r="AR144" s="3" t="s">
        <v>52</v>
      </c>
      <c r="AS144" s="3" t="s">
        <v>52</v>
      </c>
      <c r="AT144" s="3" t="s">
        <v>52</v>
      </c>
      <c r="AU144" s="9"/>
      <c r="AV144" s="9"/>
      <c r="AW144" s="9">
        <v>1</v>
      </c>
      <c r="AX144" t="str">
        <f t="shared" si="2"/>
        <v>('ZAHRINGER', 'JAMES', 'VETERANS JUSTICE OUTREACH SPECIALIST', '2104 AUTUMN OAKS LANE', 'POWHATAN', 'VA', '23139', '(804) 895-1507', '(804) 895-1507', '11/3/1964', '10/12/2021', 'Varies', '', '', '(804) 605- 2832', 'Degree', '', 'JJZAHRINGER@GMAIL.COM', 'White', 'Male', '220-90-4802', '', '', '', '', '', 'SECULAR', '', 'FALSE', 'FALSE', 'FALSE', 'ACTIVE', '', '', '', '', 'FALSE', 'November', '', '0', '44481', 'Main Jail', '', '', '', '', '', '1'),</v>
      </c>
    </row>
    <row r="145" spans="1:50" ht="25.5" x14ac:dyDescent="0.25">
      <c r="A145" s="2">
        <v>839</v>
      </c>
      <c r="B145" s="3" t="s">
        <v>1302</v>
      </c>
      <c r="C145" s="3" t="s">
        <v>1303</v>
      </c>
      <c r="D145" s="3" t="s">
        <v>1304</v>
      </c>
      <c r="E145" s="3" t="s">
        <v>1305</v>
      </c>
      <c r="F145" s="3" t="s">
        <v>49</v>
      </c>
      <c r="G145" s="3" t="s">
        <v>50</v>
      </c>
      <c r="H145" s="4">
        <v>23234</v>
      </c>
      <c r="I145" s="3" t="s">
        <v>1306</v>
      </c>
      <c r="J145" s="3" t="s">
        <v>52</v>
      </c>
      <c r="K145" s="5" t="s">
        <v>1307</v>
      </c>
      <c r="L145" s="5" t="s">
        <v>1308</v>
      </c>
      <c r="M145" s="3" t="s">
        <v>1301</v>
      </c>
      <c r="N145" s="3" t="s">
        <v>52</v>
      </c>
      <c r="O145" s="3" t="s">
        <v>1309</v>
      </c>
      <c r="P145" s="3" t="s">
        <v>1310</v>
      </c>
      <c r="Q145" s="3" t="s">
        <v>685</v>
      </c>
      <c r="R145" s="3" t="s">
        <v>52</v>
      </c>
      <c r="S145" s="3" t="s">
        <v>1311</v>
      </c>
      <c r="T145" s="3" t="s">
        <v>56</v>
      </c>
      <c r="U145" s="3" t="s">
        <v>89</v>
      </c>
      <c r="V145" s="3" t="s">
        <v>1312</v>
      </c>
      <c r="W145" s="3" t="s">
        <v>52</v>
      </c>
      <c r="X145" s="3" t="s">
        <v>1313</v>
      </c>
      <c r="Y145" s="3" t="s">
        <v>1314</v>
      </c>
      <c r="Z145" s="3" t="s">
        <v>1315</v>
      </c>
      <c r="AA145" s="3" t="s">
        <v>52</v>
      </c>
      <c r="AB145" s="3" t="s">
        <v>59</v>
      </c>
      <c r="AD145" s="7" t="b">
        <v>1</v>
      </c>
      <c r="AE145" s="7" t="b">
        <v>1</v>
      </c>
      <c r="AF145" s="7" t="b">
        <v>0</v>
      </c>
      <c r="AG145" s="3" t="s">
        <v>60</v>
      </c>
      <c r="AH145" s="3" t="s">
        <v>52</v>
      </c>
      <c r="AI145" s="10" t="s">
        <v>1323</v>
      </c>
      <c r="AJ145" s="3" t="s">
        <v>52</v>
      </c>
      <c r="AK145" s="3" t="s">
        <v>52</v>
      </c>
      <c r="AL145" s="7" t="b">
        <v>0</v>
      </c>
      <c r="AM145" s="3" t="s">
        <v>237</v>
      </c>
      <c r="AO145" s="2">
        <v>154</v>
      </c>
      <c r="AP145" s="6">
        <v>41538</v>
      </c>
      <c r="AQ145" s="3" t="s">
        <v>76</v>
      </c>
      <c r="AR145" s="3" t="s">
        <v>77</v>
      </c>
      <c r="AS145" s="3" t="s">
        <v>52</v>
      </c>
      <c r="AT145" s="3" t="s">
        <v>52</v>
      </c>
      <c r="AU145" s="9"/>
      <c r="AV145" s="9"/>
      <c r="AW145" s="9">
        <v>1</v>
      </c>
      <c r="AX145" t="str">
        <f t="shared" si="2"/>
        <v>('ZARIF', 'HASAN', 'RE-ENTRY SERVICES GROUP', '6624 BATTLEWOOD ROAD', 'RICHMOND', 'VA', '23234', '(804) 662-0270', '', '1/22/1952', '7/26/2011', '2nd Friday 8:30am-4:30pm', '', 'EPHESUS SEVENTH DAY ADVENTIST CHURCH RICHMOND,VA', '(804) 358- 7660', 'License', '', 'hkzarif@comcast.net', 'Black', 'Male', '225-74-3451', '', '2317 WESTWOOD AVENUE', 'CECIL MCFARLAND', '804-643-4000', '', 'SECULAR', '', 'TRUE', 'TRUE', 'FALSE', 'COVID INACTIVE', '', 'Re-Entry-Church Service', '', '', 'FALSE', 'January', '', '154', '41538', 'Main Jail', 'HU6', '', '', '', '', '1'),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RRJ VOLUNTEERS</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Tuggle</dc:creator>
  <cp:lastModifiedBy>Mark Tuggle</cp:lastModifiedBy>
  <dcterms:created xsi:type="dcterms:W3CDTF">2024-06-14T13:40:45Z</dcterms:created>
  <dcterms:modified xsi:type="dcterms:W3CDTF">2024-06-14T17:43:19Z</dcterms:modified>
</cp:coreProperties>
</file>